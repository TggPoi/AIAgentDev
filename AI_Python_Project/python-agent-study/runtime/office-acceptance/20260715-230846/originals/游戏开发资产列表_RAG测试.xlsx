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91bdddada74c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资产清单" sheetId="1" r:id="R6ba9bae5461d4079"/>
    <x:sheet xmlns:r="http://schemas.openxmlformats.org/officeDocument/2006/relationships" name="分类说明" sheetId="2" r:id="Ra3aea1e620874204"/>
    <x:sheet xmlns:r="http://schemas.openxmlformats.org/officeDocument/2006/relationships" name="许可证与供应商" sheetId="3" r:id="R2fcc0c65acac4cce"/>
    <x:sheet xmlns:r="http://schemas.openxmlformats.org/officeDocument/2006/relationships" name="资产汇总" sheetId="4" r:id="Rf22012fd076f416e"/>
    <x:sheet xmlns:r="http://schemas.openxmlformats.org/officeDocument/2006/relationships" name="RAG测试说明" sheetId="5" r:id="Rc7b988373b1f41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#,##0"/>
    <x:numFmt numFmtId="202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7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03864"/>
      </x:patternFill>
    </x:fill>
    <x:fill>
      <x:patternFill patternType="solid">
        <x:fgColor rgb="FF5B9BD5"/>
      </x:patternFill>
    </x:fill>
    <x:fill>
      <x:patternFill patternType="solid">
        <x:fgColor rgb="FF548235"/>
      </x:patternFill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7030A0"/>
      </x:patternFill>
    </x:fill>
  </x:fills>
  <x:borders count="2">
    <x:border/>
    <x:border/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3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1" fillId="7" borderId="1" xfId="0" applyNumberFormat="1" applyFont="1" applyFill="1" applyBorder="1"/>
    <x:xf numFmtId="0" fontId="1" fillId="7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/>
    </x:xf>
    <x:xf numFmtId="0" fontId="0" fillId="8" borderId="1" xfId="0" applyNumberFormat="1" applyFont="1" applyFill="1" applyBorder="1"/>
    <x:xf numFmtId="0" fontId="1" fillId="8" borderId="1" xfId="0" applyNumberFormat="1" applyFont="1" applyFill="1" applyBorder="1"/>
    <x:xf numFmtId="0" fontId="1" fillId="8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274E13"/>
      </x:font>
      <x:fill>
        <x:patternFill patternType="solid">
          <x:bgColor rgb="FFD9EAD3"/>
        </x:patternFill>
      </x:fill>
    </x:dxf>
    <x:dxf>
      <x:font>
        <x:b/>
        <x:color rgb="FFB45F06"/>
      </x:font>
      <x:fill>
        <x:patternFill patternType="solid">
          <x:bgColor rgb="FFFCE5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b6c59708e441f4" /><Relationship Type="http://schemas.openxmlformats.org/officeDocument/2006/relationships/theme" Target="/xl/theme/theme1.xml" Id="Rc45477c4bade4590" /><Relationship Type="http://schemas.openxmlformats.org/officeDocument/2006/relationships/sharedStrings" Target="/xl/sharedStrings.xml" Id="R5ea9e697ebef40dc" /><Relationship Type="http://schemas.openxmlformats.org/officeDocument/2006/relationships/worksheet" Target="/xl/worksheets/sheet1.xml" Id="R6ba9bae5461d4079" /><Relationship Type="http://schemas.openxmlformats.org/officeDocument/2006/relationships/worksheet" Target="/xl/worksheets/sheet2.xml" Id="Ra3aea1e620874204" /><Relationship Type="http://schemas.openxmlformats.org/officeDocument/2006/relationships/worksheet" Target="/xl/worksheets/sheet3.xml" Id="R2fcc0c65acac4cce" /><Relationship Type="http://schemas.openxmlformats.org/officeDocument/2006/relationships/worksheet" Target="/xl/worksheets/sheet4.xml" Id="Rf22012fd076f416e" /><Relationship Type="http://schemas.openxmlformats.org/officeDocument/2006/relationships/worksheet" Target="/xl/worksheets/sheet5.xml" Id="Rc7b988373b1f411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855a43a279c4a8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各分类资产数量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资产数量</c:v>
          </c:tx>
          <c:cat>
            <c:strRef>
              <c:f>'资产汇总'!$D$4:$D$12</c:f>
              <c:strCache>
                <c:ptCount val="0"/>
              </c:strCache>
            </c:strRef>
          </c:cat>
          <c:val>
            <c:numRef>
              <c:f>'资产汇总'!$E$4:$E$12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15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855a43a279c4a82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ssetInventoryTable" displayName="AssetInventoryTable" ref="A1:W46" headerRowCount="1">
  <x:tableColumns count="23">
    <x:tableColumn id="1" name="资产ID"/>
    <x:tableColumn id="2" name="资产名称（中文）"/>
    <x:tableColumn id="3" name="Asset Name"/>
    <x:tableColumn id="4" name="一级分类"/>
    <x:tableColumn id="5" name="二级分类"/>
    <x:tableColumn id="6" name="适用系统/场景"/>
    <x:tableColumn id="7" name="UE5资源路径"/>
    <x:tableColumn id="8" name="文件格式"/>
    <x:tableColumn id="9" name="来源类型"/>
    <x:tableColumn id="10" name="许可证"/>
    <x:tableColumn id="11" name="负责人"/>
    <x:tableColumn id="12" name="制作状态"/>
    <x:tableColumn id="13" name="优先级"/>
    <x:tableColumn id="14" name="版本"/>
    <x:tableColumn id="15" name="文件大小(MB)"/>
    <x:tableColumn id="16" name="三角面数"/>
    <x:tableColumn id="17" name="纹理分辨率"/>
    <x:tableColumn id="18" name="关键标签"/>
    <x:tableColumn id="19" name="用途与设计说明"/>
    <x:tableColumn id="20" name="技术备注/风险"/>
    <x:tableColumn id="21" name="创建日期"/>
    <x:tableColumn id="22" name="最后更新"/>
    <x:tableColumn id="23" name="是否核心资产"/>
  </x:tableColumns>
  <x:tableStyleInfo name="TableStyleMedium2" showRowStripes="1"/>
</x:table>
</file>

<file path=xl/tables/table2.xml><?xml version="1.0" encoding="utf-8"?>
<x:table xmlns:x="http://schemas.openxmlformats.org/spreadsheetml/2006/main" id="2" name="LicenseTable" displayName="LicenseTable" ref="A1:F8" headerRowCount="1">
  <x:tableColumns count="6">
    <x:tableColumn id="1" name="来源类型"/>
    <x:tableColumn id="2" name="示例供应商/团队"/>
    <x:tableColumn id="3" name="允许用途"/>
    <x:tableColumn id="4" name="禁止事项"/>
    <x:tableColumn id="5" name="归档凭证"/>
    <x:tableColumn id="6" name="复核周期（月）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c4e646d42ab465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074fa7386a04b4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1241774b41064487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9" hidden="0" customWidth="1"/>
    <x:col min="3" max="3" width="24" hidden="0" customWidth="1"/>
    <x:col min="4" max="4" width="12" hidden="0" customWidth="1"/>
    <x:col min="5" max="5" width="15" hidden="0" customWidth="1"/>
    <x:col min="6" max="6" width="22" hidden="0" customWidth="1"/>
    <x:col min="7" max="7" width="34" hidden="0" customWidth="1"/>
    <x:col min="8" max="8" width="18" hidden="0" customWidth="1"/>
    <x:col min="9" max="9" width="12" hidden="0" customWidth="1"/>
    <x:col min="10" max="10" width="14" hidden="0" customWidth="1"/>
    <x:col min="11" max="11" width="10" hidden="0" customWidth="1"/>
    <x:col min="12" max="12" width="11" hidden="0" customWidth="1"/>
    <x:col min="13" max="13" width="9" hidden="0" customWidth="1"/>
    <x:col min="14" max="14" width="9" hidden="0" customWidth="1"/>
    <x:col min="15" max="15" width="13" hidden="0" customWidth="1"/>
    <x:col min="16" max="16" width="12" hidden="0" customWidth="1"/>
    <x:col min="17" max="17" width="13" hidden="0" customWidth="1"/>
    <x:col min="18" max="18" width="28" hidden="0" customWidth="1"/>
    <x:col min="19" max="19" width="40" hidden="0" customWidth="1"/>
    <x:col min="20" max="20" width="38" hidden="0" customWidth="1"/>
    <x:col min="21" max="21" width="13" hidden="0" customWidth="1"/>
    <x:col min="22" max="22" width="13" hidden="0" customWidth="1"/>
    <x:col min="23" max="23" width="13" hidden="0" customWidth="1"/>
  </x:cols>
  <x:sheetData>
    <x:row r="1" ht="32" customHeight="1">
      <x:c r="A1" s="6" t="str">
        <x:v>资产ID</x:v>
      </x:c>
      <x:c r="B1" s="6" t="str">
        <x:v>资产名称（中文）</x:v>
      </x:c>
      <x:c r="C1" s="6" t="str">
        <x:v>Asset Name</x:v>
      </x:c>
      <x:c r="D1" s="6" t="str">
        <x:v>一级分类</x:v>
      </x:c>
      <x:c r="E1" s="6" t="str">
        <x:v>二级分类</x:v>
      </x:c>
      <x:c r="F1" s="6" t="str">
        <x:v>适用系统/场景</x:v>
      </x:c>
      <x:c r="G1" s="6" t="str">
        <x:v>UE5资源路径</x:v>
      </x:c>
      <x:c r="H1" s="6" t="str">
        <x:v>文件格式</x:v>
      </x:c>
      <x:c r="I1" s="6" t="str">
        <x:v>来源类型</x:v>
      </x:c>
      <x:c r="J1" s="6" t="str">
        <x:v>许可证</x:v>
      </x:c>
      <x:c r="K1" s="6" t="str">
        <x:v>负责人</x:v>
      </x:c>
      <x:c r="L1" s="6" t="str">
        <x:v>制作状态</x:v>
      </x:c>
      <x:c r="M1" s="6" t="str">
        <x:v>优先级</x:v>
      </x:c>
      <x:c r="N1" s="6" t="str">
        <x:v>版本</x:v>
      </x:c>
      <x:c r="O1" s="6" t="str">
        <x:v>文件大小(MB)</x:v>
      </x:c>
      <x:c r="P1" s="6" t="str">
        <x:v>三角面数</x:v>
      </x:c>
      <x:c r="Q1" s="6" t="str">
        <x:v>纹理分辨率</x:v>
      </x:c>
      <x:c r="R1" s="6" t="str">
        <x:v>关键标签</x:v>
      </x:c>
      <x:c r="S1" s="6" t="str">
        <x:v>用途与设计说明</x:v>
      </x:c>
      <x:c r="T1" s="6" t="str">
        <x:v>技术备注/风险</x:v>
      </x:c>
      <x:c r="U1" s="6" t="str">
        <x:v>创建日期</x:v>
      </x:c>
      <x:c r="V1" s="6" t="str">
        <x:v>最后更新</x:v>
      </x:c>
      <x:c r="W1" s="6" t="str">
        <x:v>是否核心资产</x:v>
      </x:c>
    </x:row>
    <x:row r="2">
      <x:c r="A2" s="13" t="str">
        <x:v>AST-0001</x:v>
      </x:c>
      <x:c r="B2" s="13" t="str">
        <x:v>主角近战战士</x:v>
      </x:c>
      <x:c r="C2" s="13" t="str">
        <x:v>Hero_Melee_Warrior</x:v>
      </x:c>
      <x:c r="D2" s="13" t="str">
        <x:v>角色</x:v>
      </x:c>
      <x:c r="E2" s="13" t="str">
        <x:v>可操控角色</x:v>
      </x:c>
      <x:c r="F2" s="13" t="str">
        <x:v>战斗系统/第三人称动作</x:v>
      </x:c>
      <x:c r="G2" s="13" t="str">
        <x:v>/Game/Characters/Heroes/CH_Hero_Melee</x:v>
      </x:c>
      <x:c r="H2" s="13" t="str">
        <x:v>FBX + uasset</x:v>
      </x:c>
      <x:c r="I2" s="13" t="str">
        <x:v>自研</x:v>
      </x:c>
      <x:c r="J2" s="13" t="str">
        <x:v>项目内部使用</x:v>
      </x:c>
      <x:c r="K2" s="13" t="str">
        <x:v>林溪</x:v>
      </x:c>
      <x:c r="L2" s="13" t="str">
        <x:v>制作中</x:v>
      </x:c>
      <x:c r="M2" s="13" t="str">
        <x:v>P2</x:v>
      </x:c>
      <x:c r="N2" s="13" t="str">
        <x:v>v2.0</x:v>
      </x:c>
      <x:c r="O2" s="16" t="n">
        <x:v>136.1</x:v>
      </x:c>
      <x:c r="P2" s="18" t="n">
        <x:v>65450</x:v>
      </x:c>
      <x:c r="Q2" s="13" t="str">
        <x:v>4K</x:v>
      </x:c>
      <x:c r="R2" s="13" t="str">
        <x:v>角色,骨骼,蒙皮,战斗</x:v>
      </x:c>
      <x:c r="S2" s="13" t="str">
        <x:v>主角近战战士用于战斗系统/第三人称动作。该资产需要与UE5战斗框架中的伤害、动画、音频和特效事件保持一致，通过Gameplay Tag区分状态，并在多人联机模式下避免仅在客户端修改权威战斗数据。</x:v>
      </x:c>
      <x:c r="T2" s="13" t="str">
        <x:v>检查骨骼命名、Retarget Pose与布料碰撞；LOD0面数较高时需提供至少4级LOD。</x:v>
      </x:c>
      <x:c r="U2" s="20" t="n">
        <x:v>46032</x:v>
      </x:c>
      <x:c r="V2" s="20" t="n">
        <x:v>46036</x:v>
      </x:c>
      <x:c r="W2" s="13" t="str">
        <x:v>否</x:v>
      </x:c>
    </x:row>
    <x:row r="3">
      <x:c r="A3" s="13" t="str">
        <x:v>AST-0002</x:v>
      </x:c>
      <x:c r="B3" s="13" t="str">
        <x:v>重甲守卫</x:v>
      </x:c>
      <x:c r="C3" s="13" t="str">
        <x:v>Heavy_Armored_Guard</x:v>
      </x:c>
      <x:c r="D3" s="13" t="str">
        <x:v>角色</x:v>
      </x:c>
      <x:c r="E3" s="13" t="str">
        <x:v>普通敌人</x:v>
      </x:c>
      <x:c r="F3" s="13" t="str">
        <x:v>敌人AI/近战战斗</x:v>
      </x:c>
      <x:c r="G3" s="13" t="str">
        <x:v>/Game/Characters/Enemies/CH_Heavy_Guard</x:v>
      </x:c>
      <x:c r="H3" s="13" t="str">
        <x:v>FBX + uasset</x:v>
      </x:c>
      <x:c r="I3" s="13" t="str">
        <x:v>外包定制</x:v>
      </x:c>
      <x:c r="J3" s="13" t="str">
        <x:v>买断授权</x:v>
      </x:c>
      <x:c r="K3" s="13" t="str">
        <x:v>赵凯</x:v>
      </x:c>
      <x:c r="L3" s="13" t="str">
        <x:v>待采购</x:v>
      </x:c>
      <x:c r="M3" s="13" t="str">
        <x:v>P1</x:v>
      </x:c>
      <x:c r="N3" s="13" t="str">
        <x:v>v3.1</x:v>
      </x:c>
      <x:c r="O3" s="16" t="n">
        <x:v>151.2</x:v>
      </x:c>
      <x:c r="P3" s="18" t="n">
        <x:v>75650</x:v>
      </x:c>
      <x:c r="Q3" s="13" t="str">
        <x:v>4K</x:v>
      </x:c>
      <x:c r="R3" s="13" t="str">
        <x:v>角色,骨骼,蒙皮,战斗</x:v>
      </x:c>
      <x:c r="S3" s="13" t="str">
        <x:v>重甲守卫用于敌人AI/近战战斗。该资产需要与UE5战斗框架中的伤害、动画、音频和特效事件保持一致，通过Gameplay Tag区分状态，并在多人联机模式下避免仅在客户端修改权威战斗数据。</x:v>
      </x:c>
      <x:c r="T3" s="13" t="str">
        <x:v>检查骨骼命名、Retarget Pose与布料碰撞；LOD0面数较高时需提供至少4级LOD。</x:v>
      </x:c>
      <x:c r="U3" s="20" t="n">
        <x:v>46034</x:v>
      </x:c>
      <x:c r="V3" s="20" t="n">
        <x:v>46039</x:v>
      </x:c>
      <x:c r="W3" s="13" t="str">
        <x:v>是</x:v>
      </x:c>
    </x:row>
    <x:row r="4">
      <x:c r="A4" s="13" t="str">
        <x:v>AST-0003</x:v>
      </x:c>
      <x:c r="B4" s="13" t="str">
        <x:v>远程弓箭手</x:v>
      </x:c>
      <x:c r="C4" s="13" t="str">
        <x:v>Ranged_Archer</x:v>
      </x:c>
      <x:c r="D4" s="13" t="str">
        <x:v>角色</x:v>
      </x:c>
      <x:c r="E4" s="13" t="str">
        <x:v>普通敌人</x:v>
      </x:c>
      <x:c r="F4" s="13" t="str">
        <x:v>敌人AI/远程战斗</x:v>
      </x:c>
      <x:c r="G4" s="13" t="str">
        <x:v>/Game/Characters/Enemies/CH_Archer</x:v>
      </x:c>
      <x:c r="H4" s="13" t="str">
        <x:v>FBX + uasset</x:v>
      </x:c>
      <x:c r="I4" s="13" t="str">
        <x:v>自研</x:v>
      </x:c>
      <x:c r="J4" s="13" t="str">
        <x:v>项目内部使用</x:v>
      </x:c>
      <x:c r="K4" s="13" t="str">
        <x:v>周航</x:v>
      </x:c>
      <x:c r="L4" s="13" t="str">
        <x:v>已完成</x:v>
      </x:c>
      <x:c r="M4" s="13" t="str">
        <x:v>P0</x:v>
      </x:c>
      <x:c r="N4" s="13" t="str">
        <x:v>v1.2</x:v>
      </x:c>
      <x:c r="O4" s="16" t="n">
        <x:v>166.3</x:v>
      </x:c>
      <x:c r="P4" s="18" t="n">
        <x:v>85850</x:v>
      </x:c>
      <x:c r="Q4" s="13" t="str">
        <x:v>4K</x:v>
      </x:c>
      <x:c r="R4" s="13" t="str">
        <x:v>角色,骨骼,蒙皮,战斗</x:v>
      </x:c>
      <x:c r="S4" s="13" t="str">
        <x:v>远程弓箭手用于敌人AI/远程战斗。该资产需要与UE5战斗框架中的伤害、动画、音频和特效事件保持一致，通过Gameplay Tag区分状态，并在多人联机模式下避免仅在客户端修改权威战斗数据。</x:v>
      </x:c>
      <x:c r="T4" s="13" t="str">
        <x:v>检查骨骼命名、Retarget Pose与布料碰撞；LOD0面数较高时需提供至少4级LOD。</x:v>
      </x:c>
      <x:c r="U4" s="20" t="n">
        <x:v>46036</x:v>
      </x:c>
      <x:c r="V4" s="20" t="n">
        <x:v>46042</x:v>
      </x:c>
      <x:c r="W4" s="13" t="str">
        <x:v>是</x:v>
      </x:c>
    </x:row>
    <x:row r="5">
      <x:c r="A5" s="13" t="str">
        <x:v>AST-0004</x:v>
      </x:c>
      <x:c r="B5" s="13" t="str">
        <x:v>遗迹巨像Boss</x:v>
      </x:c>
      <x:c r="C5" s="13" t="str">
        <x:v>Ruins_Colossus_Boss</x:v>
      </x:c>
      <x:c r="D5" s="13" t="str">
        <x:v>角色</x:v>
      </x:c>
      <x:c r="E5" s="13" t="str">
        <x:v>Boss角色</x:v>
      </x:c>
      <x:c r="F5" s="13" t="str">
        <x:v>Boss战/破坏部位</x:v>
      </x:c>
      <x:c r="G5" s="13" t="str">
        <x:v>/Game/Characters/Bosses/CH_Ruins_Colossus</x:v>
      </x:c>
      <x:c r="H5" s="13" t="str">
        <x:v>FBX + uasset</x:v>
      </x:c>
      <x:c r="I5" s="13" t="str">
        <x:v>外包定制</x:v>
      </x:c>
      <x:c r="J5" s="13" t="str">
        <x:v>买断授权</x:v>
      </x:c>
      <x:c r="K5" s="13" t="str">
        <x:v>陈晨</x:v>
      </x:c>
      <x:c r="L5" s="13" t="str">
        <x:v>待评审</x:v>
      </x:c>
      <x:c r="M5" s="13" t="str">
        <x:v>P3</x:v>
      </x:c>
      <x:c r="N5" s="13" t="str">
        <x:v>v2.3</x:v>
      </x:c>
      <x:c r="O5" s="16" t="n">
        <x:v>181.4</x:v>
      </x:c>
      <x:c r="P5" s="18" t="n">
        <x:v>96049</x:v>
      </x:c>
      <x:c r="Q5" s="13" t="str">
        <x:v>4K</x:v>
      </x:c>
      <x:c r="R5" s="13" t="str">
        <x:v>角色,骨骼,蒙皮,战斗</x:v>
      </x:c>
      <x:c r="S5" s="13" t="str">
        <x:v>遗迹巨像Boss用于Boss战/破坏部位。该资产需要与UE5战斗框架中的伤害、动画、音频和特效事件保持一致，通过Gameplay Tag区分状态，并在多人联机模式下避免仅在客户端修改权威战斗数据。</x:v>
      </x:c>
      <x:c r="T5" s="13" t="str">
        <x:v>检查骨骼命名、Retarget Pose与布料碰撞；LOD0面数较高时需提供至少4级LOD。</x:v>
      </x:c>
      <x:c r="U5" s="20" t="n">
        <x:v>46038</x:v>
      </x:c>
      <x:c r="V5" s="20" t="n">
        <x:v>46045</x:v>
      </x:c>
      <x:c r="W5" s="13" t="str">
        <x:v>否</x:v>
      </x:c>
    </x:row>
    <x:row r="6">
      <x:c r="A6" s="13" t="str">
        <x:v>AST-0005</x:v>
      </x:c>
      <x:c r="B6" s="13" t="str">
        <x:v>村庄铁匠NPC</x:v>
      </x:c>
      <x:c r="C6" s="13" t="str">
        <x:v>Village_Blacksmith_NPC</x:v>
      </x:c>
      <x:c r="D6" s="13" t="str">
        <x:v>角色</x:v>
      </x:c>
      <x:c r="E6" s="13" t="str">
        <x:v>剧情NPC</x:v>
      </x:c>
      <x:c r="F6" s="13" t="str">
        <x:v>村庄交互/装备强化</x:v>
      </x:c>
      <x:c r="G6" s="13" t="str">
        <x:v>/Game/Characters/NPC/CH_Blacksmith</x:v>
      </x:c>
      <x:c r="H6" s="13" t="str">
        <x:v>FBX + uasset</x:v>
      </x:c>
      <x:c r="I6" s="13" t="str">
        <x:v>商城购买</x:v>
      </x:c>
      <x:c r="J6" s="13" t="str">
        <x:v>商业许可</x:v>
      </x:c>
      <x:c r="K6" s="13" t="str">
        <x:v>王琳</x:v>
      </x:c>
      <x:c r="L6" s="13" t="str">
        <x:v>已阻塞</x:v>
      </x:c>
      <x:c r="M6" s="13" t="str">
        <x:v>P2</x:v>
      </x:c>
      <x:c r="N6" s="13" t="str">
        <x:v>v3.4</x:v>
      </x:c>
      <x:c r="O6" s="16" t="n">
        <x:v>196.6</x:v>
      </x:c>
      <x:c r="P6" s="18" t="n">
        <x:v>55250</x:v>
      </x:c>
      <x:c r="Q6" s="13" t="str">
        <x:v>4K</x:v>
      </x:c>
      <x:c r="R6" s="13" t="str">
        <x:v>角色,骨骼,蒙皮,战斗</x:v>
      </x:c>
      <x:c r="S6" s="13" t="str">
        <x:v>村庄铁匠NPC用于村庄交互/装备强化。该资产需要与UE5战斗框架中的伤害、动画、音频和特效事件保持一致，通过Gameplay Tag区分状态，并在多人联机模式下避免仅在客户端修改权威战斗数据。</x:v>
      </x:c>
      <x:c r="T6" s="13" t="str">
        <x:v>检查骨骼命名、Retarget Pose与布料碰撞；LOD0面数较高时需提供至少4级LOD。</x:v>
      </x:c>
      <x:c r="U6" s="20" t="n">
        <x:v>46040</x:v>
      </x:c>
      <x:c r="V6" s="20" t="n">
        <x:v>46048</x:v>
      </x:c>
      <x:c r="W6" s="13" t="str">
        <x:v>否</x:v>
      </x:c>
    </x:row>
    <x:row r="7">
      <x:c r="A7" s="13" t="str">
        <x:v>AST-0006</x:v>
      </x:c>
      <x:c r="B7" s="13" t="str">
        <x:v>双手剑基础连招</x:v>
      </x:c>
      <x:c r="C7" s="13" t="str">
        <x:v>Greatsword_Basic_Combo</x:v>
      </x:c>
      <x:c r="D7" s="13" t="str">
        <x:v>动画</x:v>
      </x:c>
      <x:c r="E7" s="13" t="str">
        <x:v>攻击动画</x:v>
      </x:c>
      <x:c r="F7" s="13" t="str">
        <x:v>近战连招/蒙太奇</x:v>
      </x:c>
      <x:c r="G7" s="13" t="str">
        <x:v>/Game/Animations/Combat/Greatsword/AM_Combo_Basic</x:v>
      </x:c>
      <x:c r="H7" s="13" t="str">
        <x:v>FBX + uasset</x:v>
      </x:c>
      <x:c r="I7" s="13" t="str">
        <x:v>动作捕捉</x:v>
      </x:c>
      <x:c r="J7" s="13" t="str">
        <x:v>项目内部使用</x:v>
      </x:c>
      <x:c r="K7" s="13" t="str">
        <x:v>林溪</x:v>
      </x:c>
      <x:c r="L7" s="13" t="str">
        <x:v>制作中</x:v>
      </x:c>
      <x:c r="M7" s="13" t="str">
        <x:v>P0</x:v>
      </x:c>
      <x:c r="N7" s="13" t="str">
        <x:v>v1.0</x:v>
      </x:c>
      <x:c r="O7" s="16" t="n">
        <x:v>28.4</x:v>
      </x:c>
      <x:c r="P7" s="18" t="n">
        <x:v>0</x:v>
      </x:c>
      <x:c r="Q7" s="13" t="str">
        <x:v>—</x:v>
      </x:c>
      <x:c r="R7" s="13" t="str">
        <x:v>动画蒙太奇,Root Motion,连招,Notify</x:v>
      </x:c>
      <x:c r="S7" s="13" t="str">
        <x:v>双手剑基础连招用于近战连招/蒙太奇。该资产需要与UE5战斗框架中的伤害、动画、音频和特效事件保持一致，通过Gameplay Tag区分状态，并在多人联机模式下避免仅在客户端修改权威战斗数据。</x:v>
      </x:c>
      <x:c r="T7" s="13" t="str">
        <x:v>必须统一Root Motion策略；攻击判定窗口通过Anim Notify State配置，不允许硬编码帧号。</x:v>
      </x:c>
      <x:c r="U7" s="20" t="n">
        <x:v>46042</x:v>
      </x:c>
      <x:c r="V7" s="20" t="n">
        <x:v>46051</x:v>
      </x:c>
      <x:c r="W7" s="13" t="str">
        <x:v>是</x:v>
      </x:c>
    </x:row>
    <x:row r="8">
      <x:c r="A8" s="13" t="str">
        <x:v>AST-0007</x:v>
      </x:c>
      <x:c r="B8" s="13" t="str">
        <x:v>完美闪避动作</x:v>
      </x:c>
      <x:c r="C8" s="13" t="str">
        <x:v>Perfect_Dodge</x:v>
      </x:c>
      <x:c r="D8" s="13" t="str">
        <x:v>动画</x:v>
      </x:c>
      <x:c r="E8" s="13" t="str">
        <x:v>闪避动画</x:v>
      </x:c>
      <x:c r="F8" s="13" t="str">
        <x:v>闪避无敌帧/慢动作</x:v>
      </x:c>
      <x:c r="G8" s="13" t="str">
        <x:v>/Game/Animations/Combat/Dodge/AM_Perfect_Dodge</x:v>
      </x:c>
      <x:c r="H8" s="13" t="str">
        <x:v>FBX + uasset</x:v>
      </x:c>
      <x:c r="I8" s="13" t="str">
        <x:v>自研</x:v>
      </x:c>
      <x:c r="J8" s="13" t="str">
        <x:v>项目内部使用</x:v>
      </x:c>
      <x:c r="K8" s="13" t="str">
        <x:v>赵凯</x:v>
      </x:c>
      <x:c r="L8" s="13" t="str">
        <x:v>待采购</x:v>
      </x:c>
      <x:c r="M8" s="13" t="str">
        <x:v>P3</x:v>
      </x:c>
      <x:c r="N8" s="13" t="str">
        <x:v>v2.1</x:v>
      </x:c>
      <x:c r="O8" s="16" t="n">
        <x:v>16.2</x:v>
      </x:c>
      <x:c r="P8" s="18" t="n">
        <x:v>0</x:v>
      </x:c>
      <x:c r="Q8" s="13" t="str">
        <x:v>—</x:v>
      </x:c>
      <x:c r="R8" s="13" t="str">
        <x:v>动画蒙太奇,Root Motion,连招,Notify</x:v>
      </x:c>
      <x:c r="S8" s="13" t="str">
        <x:v>完美闪避动作用于闪避无敌帧/慢动作。该资产需要与UE5战斗框架中的伤害、动画、音频和特效事件保持一致，通过Gameplay Tag区分状态，并在多人联机模式下避免仅在客户端修改权威战斗数据。</x:v>
      </x:c>
      <x:c r="T8" s="13" t="str">
        <x:v>必须统一Root Motion策略；攻击判定窗口通过Anim Notify State配置，不允许硬编码帧号。</x:v>
      </x:c>
      <x:c r="U8" s="20" t="n">
        <x:v>46044</x:v>
      </x:c>
      <x:c r="V8" s="20" t="n">
        <x:v>46054</x:v>
      </x:c>
      <x:c r="W8" s="13" t="str">
        <x:v>否</x:v>
      </x:c>
    </x:row>
    <x:row r="9">
      <x:c r="A9" s="13" t="str">
        <x:v>AST-0008</x:v>
      </x:c>
      <x:c r="B9" s="13" t="str">
        <x:v>盾牌格挡受击</x:v>
      </x:c>
      <x:c r="C9" s="13" t="str">
        <x:v>Shield_Block_Hit</x:v>
      </x:c>
      <x:c r="D9" s="13" t="str">
        <x:v>动画</x:v>
      </x:c>
      <x:c r="E9" s="13" t="str">
        <x:v>防御动画</x:v>
      </x:c>
      <x:c r="F9" s="13" t="str">
        <x:v>格挡/削韧反馈</x:v>
      </x:c>
      <x:c r="G9" s="13" t="str">
        <x:v>/Game/Animations/Combat/Shield/AM_Block_Hit</x:v>
      </x:c>
      <x:c r="H9" s="13" t="str">
        <x:v>FBX + uasset</x:v>
      </x:c>
      <x:c r="I9" s="13" t="str">
        <x:v>动作捕捉</x:v>
      </x:c>
      <x:c r="J9" s="13" t="str">
        <x:v>项目内部使用</x:v>
      </x:c>
      <x:c r="K9" s="13" t="str">
        <x:v>周航</x:v>
      </x:c>
      <x:c r="L9" s="13" t="str">
        <x:v>已完成</x:v>
      </x:c>
      <x:c r="M9" s="13" t="str">
        <x:v>P2</x:v>
      </x:c>
      <x:c r="N9" s="13" t="str">
        <x:v>v3.2</x:v>
      </x:c>
      <x:c r="O9" s="16" t="n">
        <x:v>18.2</x:v>
      </x:c>
      <x:c r="P9" s="18" t="n">
        <x:v>0</x:v>
      </x:c>
      <x:c r="Q9" s="13" t="str">
        <x:v>—</x:v>
      </x:c>
      <x:c r="R9" s="13" t="str">
        <x:v>动画蒙太奇,Root Motion,连招,Notify</x:v>
      </x:c>
      <x:c r="S9" s="13" t="str">
        <x:v>盾牌格挡受击用于格挡/削韧反馈。该资产需要与UE5战斗框架中的伤害、动画、音频和特效事件保持一致，通过Gameplay Tag区分状态，并在多人联机模式下避免仅在客户端修改权威战斗数据。</x:v>
      </x:c>
      <x:c r="T9" s="13" t="str">
        <x:v>必须统一Root Motion策略；攻击判定窗口通过Anim Notify State配置，不允许硬编码帧号。</x:v>
      </x:c>
      <x:c r="U9" s="20" t="n">
        <x:v>46046</x:v>
      </x:c>
      <x:c r="V9" s="20" t="n">
        <x:v>46057</x:v>
      </x:c>
      <x:c r="W9" s="13" t="str">
        <x:v>否</x:v>
      </x:c>
    </x:row>
    <x:row r="10">
      <x:c r="A10" s="13" t="str">
        <x:v>AST-0009</x:v>
      </x:c>
      <x:c r="B10" s="13" t="str">
        <x:v>Boss阶段转换</x:v>
      </x:c>
      <x:c r="C10" s="13" t="str">
        <x:v>Boss_Phase_Transition</x:v>
      </x:c>
      <x:c r="D10" s="13" t="str">
        <x:v>动画</x:v>
      </x:c>
      <x:c r="E10" s="13" t="str">
        <x:v>演出动画</x:v>
      </x:c>
      <x:c r="F10" s="13" t="str">
        <x:v>Boss二阶段转换</x:v>
      </x:c>
      <x:c r="G10" s="13" t="str">
        <x:v>/Game/Animations/Boss/Colossus/AM_Phase_Transition</x:v>
      </x:c>
      <x:c r="H10" s="13" t="str">
        <x:v>FBX + uasset</x:v>
      </x:c>
      <x:c r="I10" s="13" t="str">
        <x:v>外包定制</x:v>
      </x:c>
      <x:c r="J10" s="13" t="str">
        <x:v>买断授权</x:v>
      </x:c>
      <x:c r="K10" s="13" t="str">
        <x:v>陈晨</x:v>
      </x:c>
      <x:c r="L10" s="13" t="str">
        <x:v>待评审</x:v>
      </x:c>
      <x:c r="M10" s="13" t="str">
        <x:v>P1</x:v>
      </x:c>
      <x:c r="N10" s="13" t="str">
        <x:v>v1.3</x:v>
      </x:c>
      <x:c r="O10" s="16" t="n">
        <x:v>20.2</x:v>
      </x:c>
      <x:c r="P10" s="18" t="n">
        <x:v>0</x:v>
      </x:c>
      <x:c r="Q10" s="13" t="str">
        <x:v>—</x:v>
      </x:c>
      <x:c r="R10" s="13" t="str">
        <x:v>动画蒙太奇,Root Motion,连招,Notify</x:v>
      </x:c>
      <x:c r="S10" s="13" t="str">
        <x:v>Boss阶段转换用于Boss二阶段转换。该资产需要与UE5战斗框架中的伤害、动画、音频和特效事件保持一致，通过Gameplay Tag区分状态，并在多人联机模式下避免仅在客户端修改权威战斗数据。</x:v>
      </x:c>
      <x:c r="T10" s="13" t="str">
        <x:v>必须统一Root Motion策略；攻击判定窗口通过Anim Notify State配置，不允许硬编码帧号。</x:v>
      </x:c>
      <x:c r="U10" s="20" t="n">
        <x:v>46048</x:v>
      </x:c>
      <x:c r="V10" s="20" t="n">
        <x:v>46051</x:v>
      </x:c>
      <x:c r="W10" s="13" t="str">
        <x:v>是</x:v>
      </x:c>
    </x:row>
    <x:row r="11">
      <x:c r="A11" s="13" t="str">
        <x:v>AST-0010</x:v>
      </x:c>
      <x:c r="B11" s="13" t="str">
        <x:v>处决终结技</x:v>
      </x:c>
      <x:c r="C11" s="13" t="str">
        <x:v>Execution_Finisher</x:v>
      </x:c>
      <x:c r="D11" s="13" t="str">
        <x:v>动画</x:v>
      </x:c>
      <x:c r="E11" s="13" t="str">
        <x:v>处决动画</x:v>
      </x:c>
      <x:c r="F11" s="13" t="str">
        <x:v>低生命敌人处决</x:v>
      </x:c>
      <x:c r="G11" s="13" t="str">
        <x:v>/Game/Animations/Combat/Execution/AM_Finisher_A</x:v>
      </x:c>
      <x:c r="H11" s="13" t="str">
        <x:v>FBX + uasset</x:v>
      </x:c>
      <x:c r="I11" s="13" t="str">
        <x:v>动作捕捉</x:v>
      </x:c>
      <x:c r="J11" s="13" t="str">
        <x:v>项目内部使用</x:v>
      </x:c>
      <x:c r="K11" s="13" t="str">
        <x:v>王琳</x:v>
      </x:c>
      <x:c r="L11" s="13" t="str">
        <x:v>已阻塞</x:v>
      </x:c>
      <x:c r="M11" s="13" t="str">
        <x:v>P0</x:v>
      </x:c>
      <x:c r="N11" s="13" t="str">
        <x:v>v2.4</x:v>
      </x:c>
      <x:c r="O11" s="16" t="n">
        <x:v>22.3</x:v>
      </x:c>
      <x:c r="P11" s="18" t="n">
        <x:v>0</x:v>
      </x:c>
      <x:c r="Q11" s="13" t="str">
        <x:v>—</x:v>
      </x:c>
      <x:c r="R11" s="13" t="str">
        <x:v>动画蒙太奇,Root Motion,连招,Notify</x:v>
      </x:c>
      <x:c r="S11" s="13" t="str">
        <x:v>处决终结技用于低生命敌人处决。该资产需要与UE5战斗框架中的伤害、动画、音频和特效事件保持一致，通过Gameplay Tag区分状态，并在多人联机模式下避免仅在客户端修改权威战斗数据。</x:v>
      </x:c>
      <x:c r="T11" s="13" t="str">
        <x:v>必须统一Root Motion策略；攻击判定窗口通过Anim Notify State配置，不允许硬编码帧号。</x:v>
      </x:c>
      <x:c r="U11" s="20" t="n">
        <x:v>46050</x:v>
      </x:c>
      <x:c r="V11" s="20" t="n">
        <x:v>46054</x:v>
      </x:c>
      <x:c r="W11" s="13" t="str">
        <x:v>是</x:v>
      </x:c>
    </x:row>
    <x:row r="12">
      <x:c r="A12" s="13" t="str">
        <x:v>AST-0011</x:v>
      </x:c>
      <x:c r="B12" s="13" t="str">
        <x:v>遗迹大剑</x:v>
      </x:c>
      <x:c r="C12" s="13" t="str">
        <x:v>Ruins_Greatsword</x:v>
      </x:c>
      <x:c r="D12" s="13" t="str">
        <x:v>武器与装备</x:v>
      </x:c>
      <x:c r="E12" s="13" t="str">
        <x:v>近战武器</x:v>
      </x:c>
      <x:c r="F12" s="13" t="str">
        <x:v>重武器/蓄力攻击</x:v>
      </x:c>
      <x:c r="G12" s="13" t="str">
        <x:v>/Game/Items/Weapons/Greatsword/SM_Ruins_Greatsword</x:v>
      </x:c>
      <x:c r="H12" s="13" t="str">
        <x:v>FBX + uasset</x:v>
      </x:c>
      <x:c r="I12" s="13" t="str">
        <x:v>自研</x:v>
      </x:c>
      <x:c r="J12" s="13" t="str">
        <x:v>项目内部使用</x:v>
      </x:c>
      <x:c r="K12" s="13" t="str">
        <x:v>林溪</x:v>
      </x:c>
      <x:c r="L12" s="13" t="str">
        <x:v>制作中</x:v>
      </x:c>
      <x:c r="M12" s="13" t="str">
        <x:v>P2</x:v>
      </x:c>
      <x:c r="N12" s="13" t="str">
        <x:v>v3.0</x:v>
      </x:c>
      <x:c r="O12" s="16" t="n">
        <x:v>51.8</x:v>
      </x:c>
      <x:c r="P12" s="18" t="n">
        <x:v>24640</x:v>
      </x:c>
      <x:c r="Q12" s="13" t="str">
        <x:v>2K</x:v>
      </x:c>
      <x:c r="R12" s="13" t="str">
        <x:v>装备,插槽,碰撞,物品系统</x:v>
      </x:c>
      <x:c r="S12" s="13" t="str">
        <x:v>遗迹大剑用于重武器/蓄力攻击。该资产需要与UE5战斗框架中的伤害、动画、音频和特效事件保持一致，通过Gameplay Tag区分状态，并在多人联机模式下避免仅在客户端修改权威战斗数据。</x:v>
      </x:c>
      <x:c r="T12" s="13" t="str">
        <x:v>确认武器Socket方向、碰撞通道与物理材质；需验证不同体型角色的穿插。</x:v>
      </x:c>
      <x:c r="U12" s="20" t="n">
        <x:v>46052</x:v>
      </x:c>
      <x:c r="V12" s="20" t="n">
        <x:v>46057</x:v>
      </x:c>
      <x:c r="W12" s="13" t="str">
        <x:v>否</x:v>
      </x:c>
    </x:row>
    <x:row r="13">
      <x:c r="A13" s="13" t="str">
        <x:v>AST-0012</x:v>
      </x:c>
      <x:c r="B13" s="13" t="str">
        <x:v>猎鹰长弓</x:v>
      </x:c>
      <x:c r="C13" s="13" t="str">
        <x:v>Falcon_Longbow</x:v>
      </x:c>
      <x:c r="D13" s="13" t="str">
        <x:v>武器与装备</x:v>
      </x:c>
      <x:c r="E13" s="13" t="str">
        <x:v>远程武器</x:v>
      </x:c>
      <x:c r="F13" s="13" t="str">
        <x:v>蓄力射击/弱点打击</x:v>
      </x:c>
      <x:c r="G13" s="13" t="str">
        <x:v>/Game/Items/Weapons/Bow/SM_Falcon_Longbow</x:v>
      </x:c>
      <x:c r="H13" s="13" t="str">
        <x:v>FBX + uasset</x:v>
      </x:c>
      <x:c r="I13" s="13" t="str">
        <x:v>商城购买</x:v>
      </x:c>
      <x:c r="J13" s="13" t="str">
        <x:v>商业许可</x:v>
      </x:c>
      <x:c r="K13" s="13" t="str">
        <x:v>赵凯</x:v>
      </x:c>
      <x:c r="L13" s="13" t="str">
        <x:v>待采购</x:v>
      </x:c>
      <x:c r="M13" s="13" t="str">
        <x:v>P1</x:v>
      </x:c>
      <x:c r="N13" s="13" t="str">
        <x:v>v1.1</x:v>
      </x:c>
      <x:c r="O13" s="16" t="n">
        <x:v>56.2</x:v>
      </x:c>
      <x:c r="P13" s="18" t="n">
        <x:v>28480</x:v>
      </x:c>
      <x:c r="Q13" s="13" t="str">
        <x:v>2K</x:v>
      </x:c>
      <x:c r="R13" s="13" t="str">
        <x:v>装备,插槽,碰撞,物品系统</x:v>
      </x:c>
      <x:c r="S13" s="13" t="str">
        <x:v>猎鹰长弓用于蓄力射击/弱点打击。该资产需要与UE5战斗框架中的伤害、动画、音频和特效事件保持一致，通过Gameplay Tag区分状态，并在多人联机模式下避免仅在客户端修改权威战斗数据。</x:v>
      </x:c>
      <x:c r="T13" s="13" t="str">
        <x:v>确认武器Socket方向、碰撞通道与物理材质；需验证不同体型角色的穿插。</x:v>
      </x:c>
      <x:c r="U13" s="20" t="n">
        <x:v>46054</x:v>
      </x:c>
      <x:c r="V13" s="20" t="n">
        <x:v>46060</x:v>
      </x:c>
      <x:c r="W13" s="13" t="str">
        <x:v>否</x:v>
      </x:c>
    </x:row>
    <x:row r="14">
      <x:c r="A14" s="13" t="str">
        <x:v>AST-0013</x:v>
      </x:c>
      <x:c r="B14" s="13" t="str">
        <x:v>守护者塔盾</x:v>
      </x:c>
      <x:c r="C14" s="13" t="str">
        <x:v>Guardian_Tower_Shield</x:v>
      </x:c>
      <x:c r="D14" s="13" t="str">
        <x:v>武器与装备</x:v>
      </x:c>
      <x:c r="E14" s="13" t="str">
        <x:v>盾牌</x:v>
      </x:c>
      <x:c r="F14" s="13" t="str">
        <x:v>格挡/盾反</x:v>
      </x:c>
      <x:c r="G14" s="13" t="str">
        <x:v>/Game/Items/Shields/SM_Tower_Shield</x:v>
      </x:c>
      <x:c r="H14" s="13" t="str">
        <x:v>FBX + uasset</x:v>
      </x:c>
      <x:c r="I14" s="13" t="str">
        <x:v>外包定制</x:v>
      </x:c>
      <x:c r="J14" s="13" t="str">
        <x:v>买断授权</x:v>
      </x:c>
      <x:c r="K14" s="13" t="str">
        <x:v>周航</x:v>
      </x:c>
      <x:c r="L14" s="13" t="str">
        <x:v>已完成</x:v>
      </x:c>
      <x:c r="M14" s="13" t="str">
        <x:v>P0</x:v>
      </x:c>
      <x:c r="N14" s="13" t="str">
        <x:v>v2.2</x:v>
      </x:c>
      <x:c r="O14" s="16" t="n">
        <x:v>60.5</x:v>
      </x:c>
      <x:c r="P14" s="18" t="n">
        <x:v>32320</x:v>
      </x:c>
      <x:c r="Q14" s="13" t="str">
        <x:v>2K</x:v>
      </x:c>
      <x:c r="R14" s="13" t="str">
        <x:v>装备,插槽,碰撞,物品系统</x:v>
      </x:c>
      <x:c r="S14" s="13" t="str">
        <x:v>守护者塔盾用于格挡/盾反。该资产需要与UE5战斗框架中的伤害、动画、音频和特效事件保持一致，通过Gameplay Tag区分状态，并在多人联机模式下避免仅在客户端修改权威战斗数据。</x:v>
      </x:c>
      <x:c r="T14" s="13" t="str">
        <x:v>确认武器Socket方向、碰撞通道与物理材质；需验证不同体型角色的穿插。</x:v>
      </x:c>
      <x:c r="U14" s="20" t="n">
        <x:v>46056</x:v>
      </x:c>
      <x:c r="V14" s="20" t="n">
        <x:v>46063</x:v>
      </x:c>
      <x:c r="W14" s="13" t="str">
        <x:v>否</x:v>
      </x:c>
    </x:row>
    <x:row r="15">
      <x:c r="A15" s="13" t="str">
        <x:v>AST-0014</x:v>
      </x:c>
      <x:c r="B15" s="13" t="str">
        <x:v>火焰附魔符文</x:v>
      </x:c>
      <x:c r="C15" s="13" t="str">
        <x:v>Flame_Enchant_Rune</x:v>
      </x:c>
      <x:c r="D15" s="13" t="str">
        <x:v>武器与装备</x:v>
      </x:c>
      <x:c r="E15" s="13" t="str">
        <x:v>消耗品</x:v>
      </x:c>
      <x:c r="F15" s="13" t="str">
        <x:v>武器元素附魔</x:v>
      </x:c>
      <x:c r="G15" s="13" t="str">
        <x:v>/Game/Items/Consumables/MI_Flame_Rune</x:v>
      </x:c>
      <x:c r="H15" s="13" t="str">
        <x:v>FBX + uasset</x:v>
      </x:c>
      <x:c r="I15" s="13" t="str">
        <x:v>自研</x:v>
      </x:c>
      <x:c r="J15" s="13" t="str">
        <x:v>项目内部使用</x:v>
      </x:c>
      <x:c r="K15" s="13" t="str">
        <x:v>陈晨</x:v>
      </x:c>
      <x:c r="L15" s="13" t="str">
        <x:v>待评审</x:v>
      </x:c>
      <x:c r="M15" s="13" t="str">
        <x:v>P3</x:v>
      </x:c>
      <x:c r="N15" s="13" t="str">
        <x:v>v3.3</x:v>
      </x:c>
      <x:c r="O15" s="16" t="n">
        <x:v>34.6</x:v>
      </x:c>
      <x:c r="P15" s="18" t="n">
        <x:v>36160</x:v>
      </x:c>
      <x:c r="Q15" s="13" t="str">
        <x:v>2K</x:v>
      </x:c>
      <x:c r="R15" s="13" t="str">
        <x:v>装备,插槽,碰撞,物品系统</x:v>
      </x:c>
      <x:c r="S15" s="13" t="str">
        <x:v>火焰附魔符文用于武器元素附魔。该资产需要与UE5战斗框架中的伤害、动画、音频和特效事件保持一致，通过Gameplay Tag区分状态，并在多人联机模式下避免仅在客户端修改权威战斗数据。</x:v>
      </x:c>
      <x:c r="T15" s="13" t="str">
        <x:v>确认武器Socket方向、碰撞通道与物理材质；需验证不同体型角色的穿插。</x:v>
      </x:c>
      <x:c r="U15" s="20" t="n">
        <x:v>46058</x:v>
      </x:c>
      <x:c r="V15" s="20" t="n">
        <x:v>46066</x:v>
      </x:c>
      <x:c r="W15" s="13" t="str">
        <x:v>否</x:v>
      </x:c>
    </x:row>
    <x:row r="16">
      <x:c r="A16" s="13" t="str">
        <x:v>AST-0015</x:v>
      </x:c>
      <x:c r="B16" s="13" t="str">
        <x:v>重甲套装</x:v>
      </x:c>
      <x:c r="C16" s="13" t="str">
        <x:v>Heavy_Armor_Set</x:v>
      </x:c>
      <x:c r="D16" s="13" t="str">
        <x:v>武器与装备</x:v>
      </x:c>
      <x:c r="E16" s="13" t="str">
        <x:v>防具套装</x:v>
      </x:c>
      <x:c r="F16" s="13" t="str">
        <x:v>高韧性流派</x:v>
      </x:c>
      <x:c r="G16" s="13" t="str">
        <x:v>/Game/Items/Armor/Heavy/DA_Heavy_Armor_Set</x:v>
      </x:c>
      <x:c r="H16" s="13" t="str">
        <x:v>FBX + uasset</x:v>
      </x:c>
      <x:c r="I16" s="13" t="str">
        <x:v>商城购买</x:v>
      </x:c>
      <x:c r="J16" s="13" t="str">
        <x:v>商业许可</x:v>
      </x:c>
      <x:c r="K16" s="13" t="str">
        <x:v>王琳</x:v>
      </x:c>
      <x:c r="L16" s="13" t="str">
        <x:v>已阻塞</x:v>
      </x:c>
      <x:c r="M16" s="13" t="str">
        <x:v>P2</x:v>
      </x:c>
      <x:c r="N16" s="13" t="str">
        <x:v>v1.4</x:v>
      </x:c>
      <x:c r="O16" s="16" t="n">
        <x:v>38.9</x:v>
      </x:c>
      <x:c r="P16" s="18" t="n">
        <x:v>20800</x:v>
      </x:c>
      <x:c r="Q16" s="13" t="str">
        <x:v>2K</x:v>
      </x:c>
      <x:c r="R16" s="13" t="str">
        <x:v>装备,插槽,碰撞,物品系统</x:v>
      </x:c>
      <x:c r="S16" s="13" t="str">
        <x:v>重甲套装用于高韧性流派。该资产需要与UE5战斗框架中的伤害、动画、音频和特效事件保持一致，通过Gameplay Tag区分状态，并在多人联机模式下避免仅在客户端修改权威战斗数据。</x:v>
      </x:c>
      <x:c r="T16" s="13" t="str">
        <x:v>确认武器Socket方向、碰撞通道与物理材质；需验证不同体型角色的穿插。</x:v>
      </x:c>
      <x:c r="U16" s="20" t="n">
        <x:v>46060</x:v>
      </x:c>
      <x:c r="V16" s="20" t="n">
        <x:v>46069</x:v>
      </x:c>
      <x:c r="W16" s="13" t="str">
        <x:v>否</x:v>
      </x:c>
    </x:row>
    <x:row r="17">
      <x:c r="A17" s="13" t="str">
        <x:v>AST-0016</x:v>
      </x:c>
      <x:c r="B17" s="13" t="str">
        <x:v>古代遗迹模块套件</x:v>
      </x:c>
      <x:c r="C17" s="13" t="str">
        <x:v>Ancient_Ruins_Modular_Kit</x:v>
      </x:c>
      <x:c r="D17" s="13" t="str">
        <x:v>环境与场景</x:v>
      </x:c>
      <x:c r="E17" s="13" t="str">
        <x:v>模块化建筑</x:v>
      </x:c>
      <x:c r="F17" s="13" t="str">
        <x:v>遗迹关卡搭建</x:v>
      </x:c>
      <x:c r="G17" s="13" t="str">
        <x:v>/Game/Environment/Ruins/Modular</x:v>
      </x:c>
      <x:c r="H17" s="13" t="str">
        <x:v>FBX + uasset</x:v>
      </x:c>
      <x:c r="I17" s="13" t="str">
        <x:v>商城购买</x:v>
      </x:c>
      <x:c r="J17" s="13" t="str">
        <x:v>商业许可</x:v>
      </x:c>
      <x:c r="K17" s="13" t="str">
        <x:v>林溪</x:v>
      </x:c>
      <x:c r="L17" s="13" t="str">
        <x:v>制作中</x:v>
      </x:c>
      <x:c r="M17" s="13" t="str">
        <x:v>P0</x:v>
      </x:c>
      <x:c r="N17" s="13" t="str">
        <x:v>v2.0</x:v>
      </x:c>
      <x:c r="O17" s="16" t="n">
        <x:v>378</x:v>
      </x:c>
      <x:c r="P17" s="18" t="n">
        <x:v>138600</x:v>
      </x:c>
      <x:c r="Q17" s="13" t="str">
        <x:v>4K</x:v>
      </x:c>
      <x:c r="R17" s="13" t="str">
        <x:v>关卡搭建,Nanite,Lumen,模块化</x:v>
      </x:c>
      <x:c r="S17" s="13" t="str">
        <x:v>古代遗迹模块套件用于遗迹关卡搭建。该资产需要与UE5战斗框架中的伤害、动画、音频和特效事件保持一致，通过Gameplay Tag区分状态，并在多人联机模式下避免仅在客户端修改权威战斗数据。</x:v>
      </x:c>
      <x:c r="T17" s="13" t="str">
        <x:v>检查Nanite兼容性、光照贴图与HLOD；大场景需支持World Partition流送。</x:v>
      </x:c>
      <x:c r="U17" s="20" t="n">
        <x:v>46062</x:v>
      </x:c>
      <x:c r="V17" s="20" t="n">
        <x:v>46072</x:v>
      </x:c>
      <x:c r="W17" s="13" t="str">
        <x:v>否</x:v>
      </x:c>
    </x:row>
    <x:row r="18">
      <x:c r="A18" s="13" t="str">
        <x:v>AST-0017</x:v>
      </x:c>
      <x:c r="B18" s="13" t="str">
        <x:v>针叶林植被包</x:v>
      </x:c>
      <x:c r="C18" s="13" t="str">
        <x:v>Conifer_Forest_Foliage</x:v>
      </x:c>
      <x:c r="D18" s="13" t="str">
        <x:v>环境与场景</x:v>
      </x:c>
      <x:c r="E18" s="13" t="str">
        <x:v>植被</x:v>
      </x:c>
      <x:c r="F18" s="13" t="str">
        <x:v>开放区域/风力交互</x:v>
      </x:c>
      <x:c r="G18" s="13" t="str">
        <x:v>/Game/Environment/Foliage/Conifer</x:v>
      </x:c>
      <x:c r="H18" s="13" t="str">
        <x:v>FBX + uasset</x:v>
      </x:c>
      <x:c r="I18" s="13" t="str">
        <x:v>商城购买</x:v>
      </x:c>
      <x:c r="J18" s="13" t="str">
        <x:v>商业许可</x:v>
      </x:c>
      <x:c r="K18" s="13" t="str">
        <x:v>赵凯</x:v>
      </x:c>
      <x:c r="L18" s="13" t="str">
        <x:v>待采购</x:v>
      </x:c>
      <x:c r="M18" s="13" t="str">
        <x:v>P3</x:v>
      </x:c>
      <x:c r="N18" s="13" t="str">
        <x:v>v3.1</x:v>
      </x:c>
      <x:c r="O18" s="16" t="n">
        <x:v>415.8</x:v>
      </x:c>
      <x:c r="P18" s="18" t="n">
        <x:v>160200</x:v>
      </x:c>
      <x:c r="Q18" s="13" t="str">
        <x:v>4K</x:v>
      </x:c>
      <x:c r="R18" s="13" t="str">
        <x:v>关卡搭建,Nanite,Lumen,模块化</x:v>
      </x:c>
      <x:c r="S18" s="13" t="str">
        <x:v>针叶林植被包用于开放区域/风力交互。该资产需要与UE5战斗框架中的伤害、动画、音频和特效事件保持一致，通过Gameplay Tag区分状态，并在多人联机模式下避免仅在客户端修改权威战斗数据。</x:v>
      </x:c>
      <x:c r="T18" s="13" t="str">
        <x:v>检查Nanite兼容性、光照贴图与HLOD；大场景需支持World Partition流送。</x:v>
      </x:c>
      <x:c r="U18" s="20" t="n">
        <x:v>46064</x:v>
      </x:c>
      <x:c r="V18" s="20" t="n">
        <x:v>46075</x:v>
      </x:c>
      <x:c r="W18" s="13" t="str">
        <x:v>否</x:v>
      </x:c>
    </x:row>
    <x:row r="19">
      <x:c r="A19" s="13" t="str">
        <x:v>AST-0018</x:v>
      </x:c>
      <x:c r="B19" s="13" t="str">
        <x:v>村庄木屋套件</x:v>
      </x:c>
      <x:c r="C19" s="13" t="str">
        <x:v>Village_House_Kit</x:v>
      </x:c>
      <x:c r="D19" s="13" t="str">
        <x:v>环境与场景</x:v>
      </x:c>
      <x:c r="E19" s="13" t="str">
        <x:v>建筑</x:v>
      </x:c>
      <x:c r="F19" s="13" t="str">
        <x:v>村庄安全区</x:v>
      </x:c>
      <x:c r="G19" s="13" t="str">
        <x:v>/Game/Environment/Village/Houses</x:v>
      </x:c>
      <x:c r="H19" s="13" t="str">
        <x:v>FBX + uasset</x:v>
      </x:c>
      <x:c r="I19" s="13" t="str">
        <x:v>外包定制</x:v>
      </x:c>
      <x:c r="J19" s="13" t="str">
        <x:v>买断授权</x:v>
      </x:c>
      <x:c r="K19" s="13" t="str">
        <x:v>周航</x:v>
      </x:c>
      <x:c r="L19" s="13" t="str">
        <x:v>已完成</x:v>
      </x:c>
      <x:c r="M19" s="13" t="str">
        <x:v>P2</x:v>
      </x:c>
      <x:c r="N19" s="13" t="str">
        <x:v>v1.2</x:v>
      </x:c>
      <x:c r="O19" s="16" t="n">
        <x:v>453.6</x:v>
      </x:c>
      <x:c r="P19" s="18" t="n">
        <x:v>181800</x:v>
      </x:c>
      <x:c r="Q19" s="13" t="str">
        <x:v>4K</x:v>
      </x:c>
      <x:c r="R19" s="13" t="str">
        <x:v>关卡搭建,Nanite,Lumen,模块化</x:v>
      </x:c>
      <x:c r="S19" s="13" t="str">
        <x:v>村庄木屋套件用于村庄安全区。该资产需要与UE5战斗框架中的伤害、动画、音频和特效事件保持一致，通过Gameplay Tag区分状态，并在多人联机模式下避免仅在客户端修改权威战斗数据。</x:v>
      </x:c>
      <x:c r="T19" s="13" t="str">
        <x:v>检查Nanite兼容性、光照贴图与HLOD；大场景需支持World Partition流送。</x:v>
      </x:c>
      <x:c r="U19" s="20" t="n">
        <x:v>46066</x:v>
      </x:c>
      <x:c r="V19" s="20" t="n">
        <x:v>46069</x:v>
      </x:c>
      <x:c r="W19" s="13" t="str">
        <x:v>否</x:v>
      </x:c>
    </x:row>
    <x:row r="20">
      <x:c r="A20" s="13" t="str">
        <x:v>AST-0019</x:v>
      </x:c>
      <x:c r="B20" s="13" t="str">
        <x:v>可破坏石柱</x:v>
      </x:c>
      <x:c r="C20" s="13" t="str">
        <x:v>Destructible_Stone_Pillar</x:v>
      </x:c>
      <x:c r="D20" s="13" t="str">
        <x:v>环境与场景</x:v>
      </x:c>
      <x:c r="E20" s="13" t="str">
        <x:v>可破坏物</x:v>
      </x:c>
      <x:c r="F20" s="13" t="str">
        <x:v>Boss战环境破坏</x:v>
      </x:c>
      <x:c r="G20" s="13" t="str">
        <x:v>/Game/Environment/Destruction/SM_Stone_Pillar</x:v>
      </x:c>
      <x:c r="H20" s="13" t="str">
        <x:v>FBX + uasset</x:v>
      </x:c>
      <x:c r="I20" s="13" t="str">
        <x:v>自研</x:v>
      </x:c>
      <x:c r="J20" s="13" t="str">
        <x:v>项目内部使用</x:v>
      </x:c>
      <x:c r="K20" s="13" t="str">
        <x:v>陈晨</x:v>
      </x:c>
      <x:c r="L20" s="13" t="str">
        <x:v>待评审</x:v>
      </x:c>
      <x:c r="M20" s="13" t="str">
        <x:v>P1</x:v>
      </x:c>
      <x:c r="N20" s="13" t="str">
        <x:v>v2.3</x:v>
      </x:c>
      <x:c r="O20" s="16" t="n">
        <x:v>491.4</x:v>
      </x:c>
      <x:c r="P20" s="18" t="n">
        <x:v>203399</x:v>
      </x:c>
      <x:c r="Q20" s="13" t="str">
        <x:v>4K</x:v>
      </x:c>
      <x:c r="R20" s="13" t="str">
        <x:v>关卡搭建,Nanite,Lumen,模块化</x:v>
      </x:c>
      <x:c r="S20" s="13" t="str">
        <x:v>可破坏石柱用于Boss战环境破坏。该资产需要与UE5战斗框架中的伤害、动画、音频和特效事件保持一致，通过Gameplay Tag区分状态，并在多人联机模式下避免仅在客户端修改权威战斗数据。</x:v>
      </x:c>
      <x:c r="T20" s="13" t="str">
        <x:v>检查Nanite兼容性、光照贴图与HLOD；大场景需支持World Partition流送。</x:v>
      </x:c>
      <x:c r="U20" s="20" t="n">
        <x:v>46068</x:v>
      </x:c>
      <x:c r="V20" s="20" t="n">
        <x:v>46072</x:v>
      </x:c>
      <x:c r="W20" s="13" t="str">
        <x:v>否</x:v>
      </x:c>
    </x:row>
    <x:row r="21">
      <x:c r="A21" s="13" t="str">
        <x:v>AST-0020</x:v>
      </x:c>
      <x:c r="B21" s="13" t="str">
        <x:v>地下洞穴岩石包</x:v>
      </x:c>
      <x:c r="C21" s="13" t="str">
        <x:v>Cave_Rock_Pack</x:v>
      </x:c>
      <x:c r="D21" s="13" t="str">
        <x:v>环境与场景</x:v>
      </x:c>
      <x:c r="E21" s="13" t="str">
        <x:v>地形道具</x:v>
      </x:c>
      <x:c r="F21" s="13" t="str">
        <x:v>洞穴副本</x:v>
      </x:c>
      <x:c r="G21" s="13" t="str">
        <x:v>/Game/Environment/Cave/Rocks</x:v>
      </x:c>
      <x:c r="H21" s="13" t="str">
        <x:v>FBX + uasset</x:v>
      </x:c>
      <x:c r="I21" s="13" t="str">
        <x:v>扫描资产</x:v>
      </x:c>
      <x:c r="J21" s="13" t="str">
        <x:v>商业许可</x:v>
      </x:c>
      <x:c r="K21" s="13" t="str">
        <x:v>王琳</x:v>
      </x:c>
      <x:c r="L21" s="13" t="str">
        <x:v>已阻塞</x:v>
      </x:c>
      <x:c r="M21" s="13" t="str">
        <x:v>P0</x:v>
      </x:c>
      <x:c r="N21" s="13" t="str">
        <x:v>v3.4</x:v>
      </x:c>
      <x:c r="O21" s="16" t="n">
        <x:v>529.2</x:v>
      </x:c>
      <x:c r="P21" s="18" t="n">
        <x:v>117000</x:v>
      </x:c>
      <x:c r="Q21" s="13" t="str">
        <x:v>4K</x:v>
      </x:c>
      <x:c r="R21" s="13" t="str">
        <x:v>关卡搭建,Nanite,Lumen,模块化</x:v>
      </x:c>
      <x:c r="S21" s="13" t="str">
        <x:v>地下洞穴岩石包用于洞穴副本。该资产需要与UE5战斗框架中的伤害、动画、音频和特效事件保持一致，通过Gameplay Tag区分状态，并在多人联机模式下避免仅在客户端修改权威战斗数据。</x:v>
      </x:c>
      <x:c r="T21" s="13" t="str">
        <x:v>检查Nanite兼容性、光照贴图与HLOD；大场景需支持World Partition流送。</x:v>
      </x:c>
      <x:c r="U21" s="20" t="n">
        <x:v>46070</x:v>
      </x:c>
      <x:c r="V21" s="20" t="n">
        <x:v>46075</x:v>
      </x:c>
      <x:c r="W21" s="13" t="str">
        <x:v>否</x:v>
      </x:c>
    </x:row>
    <x:row r="22">
      <x:c r="A22" s="13" t="str">
        <x:v>AST-0021</x:v>
      </x:c>
      <x:c r="B22" s="13" t="str">
        <x:v>大剑挥砍轨迹</x:v>
      </x:c>
      <x:c r="C22" s="13" t="str">
        <x:v>Greatsword_Slash_Trail</x:v>
      </x:c>
      <x:c r="D22" s="13" t="str">
        <x:v>特效</x:v>
      </x:c>
      <x:c r="E22" s="13" t="str">
        <x:v>武器特效</x:v>
      </x:c>
      <x:c r="F22" s="13" t="str">
        <x:v>近战攻击判定反馈</x:v>
      </x:c>
      <x:c r="G22" s="13" t="str">
        <x:v>/Game/VFX/Combat/NS_Greatsword_Trail</x:v>
      </x:c>
      <x:c r="H22" s="13" t="str">
        <x:v>Niagara + uasset</x:v>
      </x:c>
      <x:c r="I22" s="13" t="str">
        <x:v>自研</x:v>
      </x:c>
      <x:c r="J22" s="13" t="str">
        <x:v>项目内部使用</x:v>
      </x:c>
      <x:c r="K22" s="13" t="str">
        <x:v>林溪</x:v>
      </x:c>
      <x:c r="L22" s="13" t="str">
        <x:v>制作中</x:v>
      </x:c>
      <x:c r="M22" s="13" t="str">
        <x:v>P2</x:v>
      </x:c>
      <x:c r="N22" s="13" t="str">
        <x:v>v1.0</x:v>
      </x:c>
      <x:c r="O22" s="16" t="n">
        <x:v>25.9</x:v>
      </x:c>
      <x:c r="P22" s="18" t="n">
        <x:v>0</x:v>
      </x:c>
      <x:c r="Q22" s="13" t="str">
        <x:v>1K/2K</x:v>
      </x:c>
      <x:c r="R22" s="13" t="str">
        <x:v>Niagara,命中反馈,GPU粒子,战斗</x:v>
      </x:c>
      <x:c r="S22" s="13" t="str">
        <x:v>大剑挥砍轨迹用于近战攻击判定反馈。该资产需要与UE5战斗框架中的伤害、动画、音频和特效事件保持一致，通过Gameplay Tag区分状态，并在多人联机模式下避免仅在客户端修改权威战斗数据。</x:v>
      </x:c>
      <x:c r="T22" s="13" t="str">
        <x:v>限制GPU粒子数量和Overdraw；主机平台需要单独质量档位。</x:v>
      </x:c>
      <x:c r="U22" s="20" t="n">
        <x:v>46072</x:v>
      </x:c>
      <x:c r="V22" s="20" t="n">
        <x:v>46078</x:v>
      </x:c>
      <x:c r="W22" s="13" t="str">
        <x:v>否</x:v>
      </x:c>
    </x:row>
    <x:row r="23">
      <x:c r="A23" s="13" t="str">
        <x:v>AST-0022</x:v>
      </x:c>
      <x:c r="B23" s="13" t="str">
        <x:v>完美格挡火花</x:v>
      </x:c>
      <x:c r="C23" s="13" t="str">
        <x:v>Perfect_Block_Sparks</x:v>
      </x:c>
      <x:c r="D23" s="13" t="str">
        <x:v>特效</x:v>
      </x:c>
      <x:c r="E23" s="13" t="str">
        <x:v>命中特效</x:v>
      </x:c>
      <x:c r="F23" s="13" t="str">
        <x:v>盾反成功反馈</x:v>
      </x:c>
      <x:c r="G23" s="13" t="str">
        <x:v>/Game/VFX/Combat/NS_Perfect_Block</x:v>
      </x:c>
      <x:c r="H23" s="13" t="str">
        <x:v>Niagara + uasset</x:v>
      </x:c>
      <x:c r="I23" s="13" t="str">
        <x:v>自研</x:v>
      </x:c>
      <x:c r="J23" s="13" t="str">
        <x:v>项目内部使用</x:v>
      </x:c>
      <x:c r="K23" s="13" t="str">
        <x:v>赵凯</x:v>
      </x:c>
      <x:c r="L23" s="13" t="str">
        <x:v>待采购</x:v>
      </x:c>
      <x:c r="M23" s="13" t="str">
        <x:v>P1</x:v>
      </x:c>
      <x:c r="N23" s="13" t="str">
        <x:v>v2.1</x:v>
      </x:c>
      <x:c r="O23" s="16" t="n">
        <x:v>29.2</x:v>
      </x:c>
      <x:c r="P23" s="18" t="n">
        <x:v>0</x:v>
      </x:c>
      <x:c r="Q23" s="13" t="str">
        <x:v>1K/2K</x:v>
      </x:c>
      <x:c r="R23" s="13" t="str">
        <x:v>Niagara,命中反馈,GPU粒子,战斗</x:v>
      </x:c>
      <x:c r="S23" s="13" t="str">
        <x:v>完美格挡火花用于盾反成功反馈。该资产需要与UE5战斗框架中的伤害、动画、音频和特效事件保持一致，通过Gameplay Tag区分状态，并在多人联机模式下避免仅在客户端修改权威战斗数据。</x:v>
      </x:c>
      <x:c r="T23" s="13" t="str">
        <x:v>限制GPU粒子数量和Overdraw；主机平台需要单独质量档位。</x:v>
      </x:c>
      <x:c r="U23" s="20" t="n">
        <x:v>46074</x:v>
      </x:c>
      <x:c r="V23" s="20" t="n">
        <x:v>46081</x:v>
      </x:c>
      <x:c r="W23" s="13" t="str">
        <x:v>否</x:v>
      </x:c>
    </x:row>
    <x:row r="24">
      <x:c r="A24" s="13" t="str">
        <x:v>AST-0023</x:v>
      </x:c>
      <x:c r="B24" s="13" t="str">
        <x:v>火焰附魔效果</x:v>
      </x:c>
      <x:c r="C24" s="13" t="str">
        <x:v>Flame_Enchant_Effect</x:v>
      </x:c>
      <x:c r="D24" s="13" t="str">
        <x:v>特效</x:v>
      </x:c>
      <x:c r="E24" s="13" t="str">
        <x:v>持续特效</x:v>
      </x:c>
      <x:c r="F24" s="13" t="str">
        <x:v>武器附魔/灼烧</x:v>
      </x:c>
      <x:c r="G24" s="13" t="str">
        <x:v>/Game/VFX/Elements/Fire/NS_Weapon_Enchant</x:v>
      </x:c>
      <x:c r="H24" s="13" t="str">
        <x:v>Niagara + uasset</x:v>
      </x:c>
      <x:c r="I24" s="13" t="str">
        <x:v>商城购买</x:v>
      </x:c>
      <x:c r="J24" s="13" t="str">
        <x:v>商业许可</x:v>
      </x:c>
      <x:c r="K24" s="13" t="str">
        <x:v>周航</x:v>
      </x:c>
      <x:c r="L24" s="13" t="str">
        <x:v>已完成</x:v>
      </x:c>
      <x:c r="M24" s="13" t="str">
        <x:v>P0</x:v>
      </x:c>
      <x:c r="N24" s="13" t="str">
        <x:v>v3.2</x:v>
      </x:c>
      <x:c r="O24" s="16" t="n">
        <x:v>32.4</x:v>
      </x:c>
      <x:c r="P24" s="18" t="n">
        <x:v>0</x:v>
      </x:c>
      <x:c r="Q24" s="13" t="str">
        <x:v>1K/2K</x:v>
      </x:c>
      <x:c r="R24" s="13" t="str">
        <x:v>Niagara,命中反馈,GPU粒子,战斗</x:v>
      </x:c>
      <x:c r="S24" s="13" t="str">
        <x:v>火焰附魔效果用于武器附魔/灼烧。该资产需要与UE5战斗框架中的伤害、动画、音频和特效事件保持一致，通过Gameplay Tag区分状态，并在多人联机模式下避免仅在客户端修改权威战斗数据。</x:v>
      </x:c>
      <x:c r="T24" s="13" t="str">
        <x:v>限制GPU粒子数量和Overdraw；主机平台需要单独质量档位。</x:v>
      </x:c>
      <x:c r="U24" s="20" t="n">
        <x:v>46076</x:v>
      </x:c>
      <x:c r="V24" s="20" t="n">
        <x:v>46084</x:v>
      </x:c>
      <x:c r="W24" s="13" t="str">
        <x:v>否</x:v>
      </x:c>
    </x:row>
    <x:row r="25">
      <x:c r="A25" s="13" t="str">
        <x:v>AST-0024</x:v>
      </x:c>
      <x:c r="B25" s="13" t="str">
        <x:v>Boss核心爆炸</x:v>
      </x:c>
      <x:c r="C25" s="13" t="str">
        <x:v>Boss_Core_Explosion</x:v>
      </x:c>
      <x:c r="D25" s="13" t="str">
        <x:v>特效</x:v>
      </x:c>
      <x:c r="E25" s="13" t="str">
        <x:v>大型特效</x:v>
      </x:c>
      <x:c r="F25" s="13" t="str">
        <x:v>Boss死亡演出</x:v>
      </x:c>
      <x:c r="G25" s="13" t="str">
        <x:v>/Game/VFX/Boss/NS_Core_Explosion</x:v>
      </x:c>
      <x:c r="H25" s="13" t="str">
        <x:v>Niagara + uasset</x:v>
      </x:c>
      <x:c r="I25" s="13" t="str">
        <x:v>外包定制</x:v>
      </x:c>
      <x:c r="J25" s="13" t="str">
        <x:v>买断授权</x:v>
      </x:c>
      <x:c r="K25" s="13" t="str">
        <x:v>陈晨</x:v>
      </x:c>
      <x:c r="L25" s="13" t="str">
        <x:v>待评审</x:v>
      </x:c>
      <x:c r="M25" s="13" t="str">
        <x:v>P3</x:v>
      </x:c>
      <x:c r="N25" s="13" t="str">
        <x:v>v1.3</x:v>
      </x:c>
      <x:c r="O25" s="16" t="n">
        <x:v>35.6</x:v>
      </x:c>
      <x:c r="P25" s="18" t="n">
        <x:v>0</x:v>
      </x:c>
      <x:c r="Q25" s="13" t="str">
        <x:v>1K/2K</x:v>
      </x:c>
      <x:c r="R25" s="13" t="str">
        <x:v>Niagara,命中反馈,GPU粒子,战斗</x:v>
      </x:c>
      <x:c r="S25" s="13" t="str">
        <x:v>Boss核心爆炸用于Boss死亡演出。该资产需要与UE5战斗框架中的伤害、动画、音频和特效事件保持一致，通过Gameplay Tag区分状态，并在多人联机模式下避免仅在客户端修改权威战斗数据。</x:v>
      </x:c>
      <x:c r="T25" s="13" t="str">
        <x:v>限制GPU粒子数量和Overdraw；主机平台需要单独质量档位。</x:v>
      </x:c>
      <x:c r="U25" s="20" t="n">
        <x:v>46078</x:v>
      </x:c>
      <x:c r="V25" s="20" t="n">
        <x:v>46087</x:v>
      </x:c>
      <x:c r="W25" s="13" t="str">
        <x:v>否</x:v>
      </x:c>
    </x:row>
    <x:row r="26">
      <x:c r="A26" s="13" t="str">
        <x:v>AST-0025</x:v>
      </x:c>
      <x:c r="B26" s="13" t="str">
        <x:v>治疗区域法阵</x:v>
      </x:c>
      <x:c r="C26" s="13" t="str">
        <x:v>Healing_Area_Circle</x:v>
      </x:c>
      <x:c r="D26" s="13" t="str">
        <x:v>特效</x:v>
      </x:c>
      <x:c r="E26" s="13" t="str">
        <x:v>区域特效</x:v>
      </x:c>
      <x:c r="F26" s="13" t="str">
        <x:v>持续治疗技能</x:v>
      </x:c>
      <x:c r="G26" s="13" t="str">
        <x:v>/Game/VFX/Skills/NS_Healing_Area</x:v>
      </x:c>
      <x:c r="H26" s="13" t="str">
        <x:v>Niagara + uasset</x:v>
      </x:c>
      <x:c r="I26" s="13" t="str">
        <x:v>自研</x:v>
      </x:c>
      <x:c r="J26" s="13" t="str">
        <x:v>项目内部使用</x:v>
      </x:c>
      <x:c r="K26" s="13" t="str">
        <x:v>王琳</x:v>
      </x:c>
      <x:c r="L26" s="13" t="str">
        <x:v>已阻塞</x:v>
      </x:c>
      <x:c r="M26" s="13" t="str">
        <x:v>P2</x:v>
      </x:c>
      <x:c r="N26" s="13" t="str">
        <x:v>v2.4</x:v>
      </x:c>
      <x:c r="O26" s="16" t="n">
        <x:v>38.9</x:v>
      </x:c>
      <x:c r="P26" s="18" t="n">
        <x:v>0</x:v>
      </x:c>
      <x:c r="Q26" s="13" t="str">
        <x:v>1K/2K</x:v>
      </x:c>
      <x:c r="R26" s="13" t="str">
        <x:v>Niagara,命中反馈,GPU粒子,战斗</x:v>
      </x:c>
      <x:c r="S26" s="13" t="str">
        <x:v>治疗区域法阵用于持续治疗技能。该资产需要与UE5战斗框架中的伤害、动画、音频和特效事件保持一致，通过Gameplay Tag区分状态，并在多人联机模式下避免仅在客户端修改权威战斗数据。</x:v>
      </x:c>
      <x:c r="T26" s="13" t="str">
        <x:v>限制GPU粒子数量和Overdraw；主机平台需要单独质量档位。</x:v>
      </x:c>
      <x:c r="U26" s="20" t="n">
        <x:v>46080</x:v>
      </x:c>
      <x:c r="V26" s="20" t="n">
        <x:v>46090</x:v>
      </x:c>
      <x:c r="W26" s="13" t="str">
        <x:v>否</x:v>
      </x:c>
    </x:row>
    <x:row r="27">
      <x:c r="A27" s="13" t="str">
        <x:v>AST-0026</x:v>
      </x:c>
      <x:c r="B27" s="13" t="str">
        <x:v>大剑挥砍音效组</x:v>
      </x:c>
      <x:c r="C27" s="13" t="str">
        <x:v>Greatsword_Swing_SFX_Set</x:v>
      </x:c>
      <x:c r="D27" s="13" t="str">
        <x:v>音频</x:v>
      </x:c>
      <x:c r="E27" s="13" t="str">
        <x:v>武器音效</x:v>
      </x:c>
      <x:c r="F27" s="13" t="str">
        <x:v>普通攻击/蓄力攻击</x:v>
      </x:c>
      <x:c r="G27" s="13" t="str">
        <x:v>/Game/Audio/SFX/Weapons/Greatsword</x:v>
      </x:c>
      <x:c r="H27" s="13" t="str">
        <x:v>WAV 48kHz/24bit</x:v>
      </x:c>
      <x:c r="I27" s="13" t="str">
        <x:v>音频素材库</x:v>
      </x:c>
      <x:c r="J27" s="13" t="str">
        <x:v>商业许可</x:v>
      </x:c>
      <x:c r="K27" s="13" t="str">
        <x:v>林溪</x:v>
      </x:c>
      <x:c r="L27" s="13" t="str">
        <x:v>制作中</x:v>
      </x:c>
      <x:c r="M27" s="13" t="str">
        <x:v>P0</x:v>
      </x:c>
      <x:c r="N27" s="13" t="str">
        <x:v>v3.0</x:v>
      </x:c>
      <x:c r="O27" s="16" t="n">
        <x:v>21.1</x:v>
      </x:c>
      <x:c r="P27" s="18" t="n">
        <x:v>0</x:v>
      </x:c>
      <x:c r="Q27" s="13" t="str">
        <x:v>—</x:v>
      </x:c>
      <x:c r="R27" s="13" t="str">
        <x:v>MetaSounds,SoundCue,空间音频,战斗</x:v>
      </x:c>
      <x:c r="S27" s="13" t="str">
        <x:v>大剑挥砍音效组用于普通攻击/蓄力攻击。该资产需要与UE5战斗框架中的伤害、动画、音频和特效事件保持一致，通过Gameplay Tag区分状态，并在多人联机模式下避免仅在客户端修改权威战斗数据。</x:v>
      </x:c>
      <x:c r="T27" s="13" t="str">
        <x:v>统一响度标准，避免叠加爆音；循环音乐需设置无缝Loop点。</x:v>
      </x:c>
      <x:c r="U27" s="20" t="n">
        <x:v>46082</x:v>
      </x:c>
      <x:c r="V27" s="20" t="n">
        <x:v>46093</x:v>
      </x:c>
      <x:c r="W27" s="13" t="str">
        <x:v>否</x:v>
      </x:c>
    </x:row>
    <x:row r="28">
      <x:c r="A28" s="13" t="str">
        <x:v>AST-0027</x:v>
      </x:c>
      <x:c r="B28" s="13" t="str">
        <x:v>金属格挡冲击</x:v>
      </x:c>
      <x:c r="C28" s="13" t="str">
        <x:v>Metal_Block_Impact</x:v>
      </x:c>
      <x:c r="D28" s="13" t="str">
        <x:v>音频</x:v>
      </x:c>
      <x:c r="E28" s="13" t="str">
        <x:v>命中音效</x:v>
      </x:c>
      <x:c r="F28" s="13" t="str">
        <x:v>盾牌格挡/完美盾反</x:v>
      </x:c>
      <x:c r="G28" s="13" t="str">
        <x:v>/Game/Audio/SFX/Combat/SC_Block_Impact</x:v>
      </x:c>
      <x:c r="H28" s="13" t="str">
        <x:v>WAV 48kHz/24bit</x:v>
      </x:c>
      <x:c r="I28" s="13" t="str">
        <x:v>自研</x:v>
      </x:c>
      <x:c r="J28" s="13" t="str">
        <x:v>项目内部使用</x:v>
      </x:c>
      <x:c r="K28" s="13" t="str">
        <x:v>赵凯</x:v>
      </x:c>
      <x:c r="L28" s="13" t="str">
        <x:v>待采购</x:v>
      </x:c>
      <x:c r="M28" s="13" t="str">
        <x:v>P3</x:v>
      </x:c>
      <x:c r="N28" s="13" t="str">
        <x:v>v1.1</x:v>
      </x:c>
      <x:c r="O28" s="16" t="n">
        <x:v>22.7</x:v>
      </x:c>
      <x:c r="P28" s="18" t="n">
        <x:v>0</x:v>
      </x:c>
      <x:c r="Q28" s="13" t="str">
        <x:v>—</x:v>
      </x:c>
      <x:c r="R28" s="13" t="str">
        <x:v>MetaSounds,SoundCue,空间音频,战斗</x:v>
      </x:c>
      <x:c r="S28" s="13" t="str">
        <x:v>金属格挡冲击用于盾牌格挡/完美盾反。该资产需要与UE5战斗框架中的伤害、动画、音频和特效事件保持一致，通过Gameplay Tag区分状态，并在多人联机模式下避免仅在客户端修改权威战斗数据。</x:v>
      </x:c>
      <x:c r="T28" s="13" t="str">
        <x:v>统一响度标准，避免叠加爆音；循环音乐需设置无缝Loop点。</x:v>
      </x:c>
      <x:c r="U28" s="20" t="n">
        <x:v>46084</x:v>
      </x:c>
      <x:c r="V28" s="20" t="n">
        <x:v>46087</x:v>
      </x:c>
      <x:c r="W28" s="13" t="str">
        <x:v>否</x:v>
      </x:c>
    </x:row>
    <x:row r="29">
      <x:c r="A29" s="13" t="str">
        <x:v>AST-0028</x:v>
      </x:c>
      <x:c r="B29" s="13" t="str">
        <x:v>Boss战第二阶段音乐</x:v>
      </x:c>
      <x:c r="C29" s="13" t="str">
        <x:v>Boss_Phase2_Music</x:v>
      </x:c>
      <x:c r="D29" s="13" t="str">
        <x:v>音频</x:v>
      </x:c>
      <x:c r="E29" s="13" t="str">
        <x:v>战斗音乐</x:v>
      </x:c>
      <x:c r="F29" s="13" t="str">
        <x:v>Boss二阶段循环</x:v>
      </x:c>
      <x:c r="G29" s="13" t="str">
        <x:v>/Game/Audio/Music/Boss/MUS_Colossus_Phase2</x:v>
      </x:c>
      <x:c r="H29" s="13" t="str">
        <x:v>WAV 48kHz/24bit</x:v>
      </x:c>
      <x:c r="I29" s="13" t="str">
        <x:v>外包定制</x:v>
      </x:c>
      <x:c r="J29" s="13" t="str">
        <x:v>买断授权</x:v>
      </x:c>
      <x:c r="K29" s="13" t="str">
        <x:v>周航</x:v>
      </x:c>
      <x:c r="L29" s="13" t="str">
        <x:v>已完成</x:v>
      </x:c>
      <x:c r="M29" s="13" t="str">
        <x:v>P2</x:v>
      </x:c>
      <x:c r="N29" s="13" t="str">
        <x:v>v2.2</x:v>
      </x:c>
      <x:c r="O29" s="16" t="n">
        <x:v>13</x:v>
      </x:c>
      <x:c r="P29" s="18" t="n">
        <x:v>0</x:v>
      </x:c>
      <x:c r="Q29" s="13" t="str">
        <x:v>—</x:v>
      </x:c>
      <x:c r="R29" s="13" t="str">
        <x:v>MetaSounds,SoundCue,空间音频,战斗</x:v>
      </x:c>
      <x:c r="S29" s="13" t="str">
        <x:v>Boss战第二阶段音乐用于Boss二阶段循环。该资产需要与UE5战斗框架中的伤害、动画、音频和特效事件保持一致，通过Gameplay Tag区分状态，并在多人联机模式下避免仅在客户端修改权威战斗数据。</x:v>
      </x:c>
      <x:c r="T29" s="13" t="str">
        <x:v>统一响度标准，避免叠加爆音；循环音乐需设置无缝Loop点。</x:v>
      </x:c>
      <x:c r="U29" s="20" t="n">
        <x:v>46086</x:v>
      </x:c>
      <x:c r="V29" s="20" t="n">
        <x:v>46090</x:v>
      </x:c>
      <x:c r="W29" s="13" t="str">
        <x:v>否</x:v>
      </x:c>
    </x:row>
    <x:row r="30">
      <x:c r="A30" s="13" t="str">
        <x:v>AST-0029</x:v>
      </x:c>
      <x:c r="B30" s="13" t="str">
        <x:v>森林环境氛围</x:v>
      </x:c>
      <x:c r="C30" s="13" t="str">
        <x:v>Forest_Ambience</x:v>
      </x:c>
      <x:c r="D30" s="13" t="str">
        <x:v>音频</x:v>
      </x:c>
      <x:c r="E30" s="13" t="str">
        <x:v>环境音</x:v>
      </x:c>
      <x:c r="F30" s="13" t="str">
        <x:v>针叶林昼夜环境</x:v>
      </x:c>
      <x:c r="G30" s="13" t="str">
        <x:v>/Game/Audio/Ambience/Forest</x:v>
      </x:c>
      <x:c r="H30" s="13" t="str">
        <x:v>WAV 48kHz/24bit</x:v>
      </x:c>
      <x:c r="I30" s="13" t="str">
        <x:v>音频素材库</x:v>
      </x:c>
      <x:c r="J30" s="13" t="str">
        <x:v>商业许可</x:v>
      </x:c>
      <x:c r="K30" s="13" t="str">
        <x:v>陈晨</x:v>
      </x:c>
      <x:c r="L30" s="13" t="str">
        <x:v>待评审</x:v>
      </x:c>
      <x:c r="M30" s="13" t="str">
        <x:v>P1</x:v>
      </x:c>
      <x:c r="N30" s="13" t="str">
        <x:v>v3.3</x:v>
      </x:c>
      <x:c r="O30" s="16" t="n">
        <x:v>14.6</x:v>
      </x:c>
      <x:c r="P30" s="18" t="n">
        <x:v>0</x:v>
      </x:c>
      <x:c r="Q30" s="13" t="str">
        <x:v>—</x:v>
      </x:c>
      <x:c r="R30" s="13" t="str">
        <x:v>MetaSounds,SoundCue,空间音频,战斗</x:v>
      </x:c>
      <x:c r="S30" s="13" t="str">
        <x:v>森林环境氛围用于针叶林昼夜环境。该资产需要与UE5战斗框架中的伤害、动画、音频和特效事件保持一致，通过Gameplay Tag区分状态，并在多人联机模式下避免仅在客户端修改权威战斗数据。</x:v>
      </x:c>
      <x:c r="T30" s="13" t="str">
        <x:v>统一响度标准，避免叠加爆音；循环音乐需设置无缝Loop点。</x:v>
      </x:c>
      <x:c r="U30" s="20" t="n">
        <x:v>46088</x:v>
      </x:c>
      <x:c r="V30" s="20" t="n">
        <x:v>46093</x:v>
      </x:c>
      <x:c r="W30" s="13" t="str">
        <x:v>否</x:v>
      </x:c>
    </x:row>
    <x:row r="31">
      <x:c r="A31" s="13" t="str">
        <x:v>AST-0030</x:v>
      </x:c>
      <x:c r="B31" s="13" t="str">
        <x:v>角色受击语音包</x:v>
      </x:c>
      <x:c r="C31" s="13" t="str">
        <x:v>Hero_Hit_Voice_Set</x:v>
      </x:c>
      <x:c r="D31" s="13" t="str">
        <x:v>音频</x:v>
      </x:c>
      <x:c r="E31" s="13" t="str">
        <x:v>角色语音</x:v>
      </x:c>
      <x:c r="F31" s="13" t="str">
        <x:v>轻伤/重伤/濒死</x:v>
      </x:c>
      <x:c r="G31" s="13" t="str">
        <x:v>/Game/Audio/Voice/Hero/Hit</x:v>
      </x:c>
      <x:c r="H31" s="13" t="str">
        <x:v>WAV 48kHz/24bit</x:v>
      </x:c>
      <x:c r="I31" s="13" t="str">
        <x:v>配音录制</x:v>
      </x:c>
      <x:c r="J31" s="13" t="str">
        <x:v>项目内部使用</x:v>
      </x:c>
      <x:c r="K31" s="13" t="str">
        <x:v>王琳</x:v>
      </x:c>
      <x:c r="L31" s="13" t="str">
        <x:v>已阻塞</x:v>
      </x:c>
      <x:c r="M31" s="13" t="str">
        <x:v>P0</x:v>
      </x:c>
      <x:c r="N31" s="13" t="str">
        <x:v>v1.4</x:v>
      </x:c>
      <x:c r="O31" s="16" t="n">
        <x:v>16.2</x:v>
      </x:c>
      <x:c r="P31" s="18" t="n">
        <x:v>0</x:v>
      </x:c>
      <x:c r="Q31" s="13" t="str">
        <x:v>—</x:v>
      </x:c>
      <x:c r="R31" s="13" t="str">
        <x:v>MetaSounds,SoundCue,空间音频,战斗</x:v>
      </x:c>
      <x:c r="S31" s="13" t="str">
        <x:v>角色受击语音包用于轻伤/重伤/濒死。该资产需要与UE5战斗框架中的伤害、动画、音频和特效事件保持一致，通过Gameplay Tag区分状态，并在多人联机模式下避免仅在客户端修改权威战斗数据。</x:v>
      </x:c>
      <x:c r="T31" s="13" t="str">
        <x:v>统一响度标准，避免叠加爆音；循环音乐需设置无缝Loop点。</x:v>
      </x:c>
      <x:c r="U31" s="20" t="n">
        <x:v>46090</x:v>
      </x:c>
      <x:c r="V31" s="20" t="n">
        <x:v>46096</x:v>
      </x:c>
      <x:c r="W31" s="13" t="str">
        <x:v>否</x:v>
      </x:c>
    </x:row>
    <x:row r="32">
      <x:c r="A32" s="13" t="str">
        <x:v>AST-0031</x:v>
      </x:c>
      <x:c r="B32" s="13" t="str">
        <x:v>战斗HUD主界面</x:v>
      </x:c>
      <x:c r="C32" s="13" t="str">
        <x:v>Combat_HUD</x:v>
      </x:c>
      <x:c r="D32" s="13" t="str">
        <x:v>UI</x:v>
      </x:c>
      <x:c r="E32" s="13" t="str">
        <x:v>HUD</x:v>
      </x:c>
      <x:c r="F32" s="13" t="str">
        <x:v>生命/精力/技能冷却</x:v>
      </x:c>
      <x:c r="G32" s="13" t="str">
        <x:v>/Game/UI/HUD/WBP_CombatHUD</x:v>
      </x:c>
      <x:c r="H32" s="13" t="str">
        <x:v>PNG + uasset</x:v>
      </x:c>
      <x:c r="I32" s="13" t="str">
        <x:v>自研</x:v>
      </x:c>
      <x:c r="J32" s="13" t="str">
        <x:v>项目内部使用</x:v>
      </x:c>
      <x:c r="K32" s="13" t="str">
        <x:v>林溪</x:v>
      </x:c>
      <x:c r="L32" s="13" t="str">
        <x:v>制作中</x:v>
      </x:c>
      <x:c r="M32" s="13" t="str">
        <x:v>P2</x:v>
      </x:c>
      <x:c r="N32" s="13" t="str">
        <x:v>v2.0</x:v>
      </x:c>
      <x:c r="O32" s="16" t="n">
        <x:v>9.4</x:v>
      </x:c>
      <x:c r="P32" s="18" t="n">
        <x:v>0</x:v>
      </x:c>
      <x:c r="Q32" s="13" t="str">
        <x:v>1K/2K</x:v>
      </x:c>
      <x:c r="R32" s="13" t="str">
        <x:v>UMG,MVVM,手柄导航,信息反馈</x:v>
      </x:c>
      <x:c r="S32" s="13" t="str">
        <x:v>战斗HUD主界面用于生命/精力/技能冷却。该资产需要与UE5战斗框架中的伤害、动画、音频和特效事件保持一致，通过Gameplay Tag区分状态，并在多人联机模式下避免仅在客户端修改权威战斗数据。</x:v>
      </x:c>
      <x:c r="T32" s="13" t="str">
        <x:v>需要支持1920×1080、2560×1440和超宽屏；文本必须可本地化。</x:v>
      </x:c>
      <x:c r="U32" s="20" t="n">
        <x:v>46092</x:v>
      </x:c>
      <x:c r="V32" s="20" t="n">
        <x:v>46099</x:v>
      </x:c>
      <x:c r="W32" s="13" t="str">
        <x:v>否</x:v>
      </x:c>
    </x:row>
    <x:row r="33">
      <x:c r="A33" s="13" t="str">
        <x:v>AST-0032</x:v>
      </x:c>
      <x:c r="B33" s="13" t="str">
        <x:v>Boss生命条</x:v>
      </x:c>
      <x:c r="C33" s="13" t="str">
        <x:v>Boss_Health_Bar</x:v>
      </x:c>
      <x:c r="D33" s="13" t="str">
        <x:v>UI</x:v>
      </x:c>
      <x:c r="E33" s="13" t="str">
        <x:v>HUD组件</x:v>
      </x:c>
      <x:c r="F33" s="13" t="str">
        <x:v>Boss名称/阶段/生命值</x:v>
      </x:c>
      <x:c r="G33" s="13" t="str">
        <x:v>/Game/UI/HUD/WBP_BossHealthBar</x:v>
      </x:c>
      <x:c r="H33" s="13" t="str">
        <x:v>PNG + uasset</x:v>
      </x:c>
      <x:c r="I33" s="13" t="str">
        <x:v>自研</x:v>
      </x:c>
      <x:c r="J33" s="13" t="str">
        <x:v>项目内部使用</x:v>
      </x:c>
      <x:c r="K33" s="13" t="str">
        <x:v>赵凯</x:v>
      </x:c>
      <x:c r="L33" s="13" t="str">
        <x:v>待采购</x:v>
      </x:c>
      <x:c r="M33" s="13" t="str">
        <x:v>P1</x:v>
      </x:c>
      <x:c r="N33" s="13" t="str">
        <x:v>v3.1</x:v>
      </x:c>
      <x:c r="O33" s="16" t="n">
        <x:v>10.3</x:v>
      </x:c>
      <x:c r="P33" s="18" t="n">
        <x:v>0</x:v>
      </x:c>
      <x:c r="Q33" s="13" t="str">
        <x:v>1K/2K</x:v>
      </x:c>
      <x:c r="R33" s="13" t="str">
        <x:v>UMG,MVVM,手柄导航,信息反馈</x:v>
      </x:c>
      <x:c r="S33" s="13" t="str">
        <x:v>Boss生命条用于Boss名称/阶段/生命值。该资产需要与UE5战斗框架中的伤害、动画、音频和特效事件保持一致，通过Gameplay Tag区分状态，并在多人联机模式下避免仅在客户端修改权威战斗数据。</x:v>
      </x:c>
      <x:c r="T33" s="13" t="str">
        <x:v>需要支持1920×1080、2560×1440和超宽屏；文本必须可本地化。</x:v>
      </x:c>
      <x:c r="U33" s="20" t="n">
        <x:v>46094</x:v>
      </x:c>
      <x:c r="V33" s="20" t="n">
        <x:v>46102</x:v>
      </x:c>
      <x:c r="W33" s="13" t="str">
        <x:v>是</x:v>
      </x:c>
    </x:row>
    <x:row r="34">
      <x:c r="A34" s="13" t="str">
        <x:v>AST-0033</x:v>
      </x:c>
      <x:c r="B34" s="13" t="str">
        <x:v>装备详情面板</x:v>
      </x:c>
      <x:c r="C34" s="13" t="str">
        <x:v>Equipment_Detail_Panel</x:v>
      </x:c>
      <x:c r="D34" s="13" t="str">
        <x:v>UI</x:v>
      </x:c>
      <x:c r="E34" s="13" t="str">
        <x:v>菜单界面</x:v>
      </x:c>
      <x:c r="F34" s="13" t="str">
        <x:v>属性对比/词条显示</x:v>
      </x:c>
      <x:c r="G34" s="13" t="str">
        <x:v>/Game/UI/Inventory/WBP_EquipmentDetail</x:v>
      </x:c>
      <x:c r="H34" s="13" t="str">
        <x:v>PNG + uasset</x:v>
      </x:c>
      <x:c r="I34" s="13" t="str">
        <x:v>自研</x:v>
      </x:c>
      <x:c r="J34" s="13" t="str">
        <x:v>项目内部使用</x:v>
      </x:c>
      <x:c r="K34" s="13" t="str">
        <x:v>周航</x:v>
      </x:c>
      <x:c r="L34" s="13" t="str">
        <x:v>已完成</x:v>
      </x:c>
      <x:c r="M34" s="13" t="str">
        <x:v>P0</x:v>
      </x:c>
      <x:c r="N34" s="13" t="str">
        <x:v>v1.2</x:v>
      </x:c>
      <x:c r="O34" s="16" t="n">
        <x:v>11.1</x:v>
      </x:c>
      <x:c r="P34" s="18" t="n">
        <x:v>0</x:v>
      </x:c>
      <x:c r="Q34" s="13" t="str">
        <x:v>1K/2K</x:v>
      </x:c>
      <x:c r="R34" s="13" t="str">
        <x:v>UMG,MVVM,手柄导航,信息反馈</x:v>
      </x:c>
      <x:c r="S34" s="13" t="str">
        <x:v>装备详情面板用于属性对比/词条显示。该资产需要与UE5战斗框架中的伤害、动画、音频和特效事件保持一致，通过Gameplay Tag区分状态，并在多人联机模式下避免仅在客户端修改权威战斗数据。</x:v>
      </x:c>
      <x:c r="T34" s="13" t="str">
        <x:v>需要支持1920×1080、2560×1440和超宽屏；文本必须可本地化。</x:v>
      </x:c>
      <x:c r="U34" s="20" t="n">
        <x:v>46096</x:v>
      </x:c>
      <x:c r="V34" s="20" t="n">
        <x:v>46105</x:v>
      </x:c>
      <x:c r="W34" s="13" t="str">
        <x:v>是</x:v>
      </x:c>
    </x:row>
    <x:row r="35">
      <x:c r="A35" s="13" t="str">
        <x:v>AST-0034</x:v>
      </x:c>
      <x:c r="B35" s="13" t="str">
        <x:v>状态异常图标集</x:v>
      </x:c>
      <x:c r="C35" s="13" t="str">
        <x:v>Status_Effect_Icon_Set</x:v>
      </x:c>
      <x:c r="D35" s="13" t="str">
        <x:v>UI</x:v>
      </x:c>
      <x:c r="E35" s="13" t="str">
        <x:v>图标</x:v>
      </x:c>
      <x:c r="F35" s="13" t="str">
        <x:v>中毒/燃烧/冰冻/眩晕</x:v>
      </x:c>
      <x:c r="G35" s="13" t="str">
        <x:v>/Game/UI/Icons/StatusEffects</x:v>
      </x:c>
      <x:c r="H35" s="13" t="str">
        <x:v>PNG + uasset</x:v>
      </x:c>
      <x:c r="I35" s="13" t="str">
        <x:v>外包定制</x:v>
      </x:c>
      <x:c r="J35" s="13" t="str">
        <x:v>买断授权</x:v>
      </x:c>
      <x:c r="K35" s="13" t="str">
        <x:v>陈晨</x:v>
      </x:c>
      <x:c r="L35" s="13" t="str">
        <x:v>待评审</x:v>
      </x:c>
      <x:c r="M35" s="13" t="str">
        <x:v>P3</x:v>
      </x:c>
      <x:c r="N35" s="13" t="str">
        <x:v>v2.3</x:v>
      </x:c>
      <x:c r="O35" s="16" t="n">
        <x:v>12</x:v>
      </x:c>
      <x:c r="P35" s="18" t="n">
        <x:v>0</x:v>
      </x:c>
      <x:c r="Q35" s="13" t="str">
        <x:v>1K/2K</x:v>
      </x:c>
      <x:c r="R35" s="13" t="str">
        <x:v>UMG,MVVM,手柄导航,信息反馈</x:v>
      </x:c>
      <x:c r="S35" s="13" t="str">
        <x:v>状态异常图标集用于中毒/燃烧/冰冻/眩晕。该资产需要与UE5战斗框架中的伤害、动画、音频和特效事件保持一致，通过Gameplay Tag区分状态，并在多人联机模式下避免仅在客户端修改权威战斗数据。</x:v>
      </x:c>
      <x:c r="T35" s="13" t="str">
        <x:v>需要支持1920×1080、2560×1440和超宽屏；文本必须可本地化。</x:v>
      </x:c>
      <x:c r="U35" s="20" t="n">
        <x:v>46098</x:v>
      </x:c>
      <x:c r="V35" s="20" t="n">
        <x:v>46108</x:v>
      </x:c>
      <x:c r="W35" s="13" t="str">
        <x:v>否</x:v>
      </x:c>
    </x:row>
    <x:row r="36">
      <x:c r="A36" s="13" t="str">
        <x:v>AST-0035</x:v>
      </x:c>
      <x:c r="B36" s="13" t="str">
        <x:v>手柄按键提示集</x:v>
      </x:c>
      <x:c r="C36" s="13" t="str">
        <x:v>Gamepad_Prompt_Set</x:v>
      </x:c>
      <x:c r="D36" s="13" t="str">
        <x:v>UI</x:v>
      </x:c>
      <x:c r="E36" s="13" t="str">
        <x:v>输入提示</x:v>
      </x:c>
      <x:c r="F36" s="13" t="str">
        <x:v>Xbox/PlayStation手柄</x:v>
      </x:c>
      <x:c r="G36" s="13" t="str">
        <x:v>/Game/UI/Icons/Input/Gamepad</x:v>
      </x:c>
      <x:c r="H36" s="13" t="str">
        <x:v>PNG + uasset</x:v>
      </x:c>
      <x:c r="I36" s="13" t="str">
        <x:v>商城购买</x:v>
      </x:c>
      <x:c r="J36" s="13" t="str">
        <x:v>商业许可</x:v>
      </x:c>
      <x:c r="K36" s="13" t="str">
        <x:v>王琳</x:v>
      </x:c>
      <x:c r="L36" s="13" t="str">
        <x:v>已阻塞</x:v>
      </x:c>
      <x:c r="M36" s="13" t="str">
        <x:v>P2</x:v>
      </x:c>
      <x:c r="N36" s="13" t="str">
        <x:v>v3.4</x:v>
      </x:c>
      <x:c r="O36" s="16" t="n">
        <x:v>6.8</x:v>
      </x:c>
      <x:c r="P36" s="18" t="n">
        <x:v>0</x:v>
      </x:c>
      <x:c r="Q36" s="13" t="str">
        <x:v>1K/2K</x:v>
      </x:c>
      <x:c r="R36" s="13" t="str">
        <x:v>UMG,MVVM,手柄导航,信息反馈</x:v>
      </x:c>
      <x:c r="S36" s="13" t="str">
        <x:v>手柄按键提示集用于Xbox/PlayStation手柄。该资产需要与UE5战斗框架中的伤害、动画、音频和特效事件保持一致，通过Gameplay Tag区分状态，并在多人联机模式下避免仅在客户端修改权威战斗数据。</x:v>
      </x:c>
      <x:c r="T36" s="13" t="str">
        <x:v>需要支持1920×1080、2560×1440和超宽屏；文本必须可本地化。</x:v>
      </x:c>
      <x:c r="U36" s="20" t="n">
        <x:v>46100</x:v>
      </x:c>
      <x:c r="V36" s="20" t="n">
        <x:v>46111</x:v>
      </x:c>
      <x:c r="W36" s="13" t="str">
        <x:v>否</x:v>
      </x:c>
    </x:row>
    <x:row r="37">
      <x:c r="A37" s="13" t="str">
        <x:v>AST-0036</x:v>
      </x:c>
      <x:c r="B37" s="13" t="str">
        <x:v>角色皮肤主材质</x:v>
      </x:c>
      <x:c r="C37" s="13" t="str">
        <x:v>Character_Skin_Master</x:v>
      </x:c>
      <x:c r="D37" s="13" t="str">
        <x:v>材质与纹理</x:v>
      </x:c>
      <x:c r="E37" s="13" t="str">
        <x:v>主材质</x:v>
      </x:c>
      <x:c r="F37" s="13" t="str">
        <x:v>角色皮肤/伤痕参数</x:v>
      </x:c>
      <x:c r="G37" s="13" t="str">
        <x:v>/Game/Materials/Characters/M_Skin_Master</x:v>
      </x:c>
      <x:c r="H37" s="13" t="str">
        <x:v>PNG/TGA + uasset</x:v>
      </x:c>
      <x:c r="I37" s="13" t="str">
        <x:v>自研</x:v>
      </x:c>
      <x:c r="J37" s="13" t="str">
        <x:v>项目内部使用</x:v>
      </x:c>
      <x:c r="K37" s="13" t="str">
        <x:v>林溪</x:v>
      </x:c>
      <x:c r="L37" s="13" t="str">
        <x:v>制作中</x:v>
      </x:c>
      <x:c r="M37" s="13" t="str">
        <x:v>P0</x:v>
      </x:c>
      <x:c r="N37" s="13" t="str">
        <x:v>v1.0</x:v>
      </x:c>
      <x:c r="O37" s="16" t="n">
        <x:v>68.8</x:v>
      </x:c>
      <x:c r="P37" s="18" t="n">
        <x:v>0</x:v>
      </x:c>
      <x:c r="Q37" s="13" t="str">
        <x:v>2K/4K</x:v>
      </x:c>
      <x:c r="R37" s="13" t="str">
        <x:v>PBR,材质实例,虚拟纹理,性能</x:v>
      </x:c>
      <x:c r="S37" s="13" t="str">
        <x:v>角色皮肤主材质用于角色皮肤/伤痕参数。该资产需要与UE5战斗框架中的伤害、动画、音频和特效事件保持一致，通过Gameplay Tag区分状态，并在多人联机模式下避免仅在客户端修改权威战斗数据。</x:v>
      </x:c>
      <x:c r="T37" s="13" t="str">
        <x:v>检查纹理压缩、Streaming Pool占用与Shader复杂度；移动端使用降级实例。</x:v>
      </x:c>
      <x:c r="U37" s="20" t="n">
        <x:v>46102</x:v>
      </x:c>
      <x:c r="V37" s="20" t="n">
        <x:v>46105</x:v>
      </x:c>
      <x:c r="W37" s="13" t="str">
        <x:v>否</x:v>
      </x:c>
    </x:row>
    <x:row r="38">
      <x:c r="A38" s="13" t="str">
        <x:v>AST-0037</x:v>
      </x:c>
      <x:c r="B38" s="13" t="str">
        <x:v>金属磨损主材质</x:v>
      </x:c>
      <x:c r="C38" s="13" t="str">
        <x:v>Metal_Wear_Master</x:v>
      </x:c>
      <x:c r="D38" s="13" t="str">
        <x:v>材质与纹理</x:v>
      </x:c>
      <x:c r="E38" s="13" t="str">
        <x:v>主材质</x:v>
      </x:c>
      <x:c r="F38" s="13" t="str">
        <x:v>武器与盔甲磨损</x:v>
      </x:c>
      <x:c r="G38" s="13" t="str">
        <x:v>/Game/Materials/Props/M_Metal_Wear</x:v>
      </x:c>
      <x:c r="H38" s="13" t="str">
        <x:v>PNG/TGA + uasset</x:v>
      </x:c>
      <x:c r="I38" s="13" t="str">
        <x:v>自研</x:v>
      </x:c>
      <x:c r="J38" s="13" t="str">
        <x:v>项目内部使用</x:v>
      </x:c>
      <x:c r="K38" s="13" t="str">
        <x:v>赵凯</x:v>
      </x:c>
      <x:c r="L38" s="13" t="str">
        <x:v>待采购</x:v>
      </x:c>
      <x:c r="M38" s="13" t="str">
        <x:v>P3</x:v>
      </x:c>
      <x:c r="N38" s="13" t="str">
        <x:v>v2.1</x:v>
      </x:c>
      <x:c r="O38" s="16" t="n">
        <x:v>76.5</x:v>
      </x:c>
      <x:c r="P38" s="18" t="n">
        <x:v>0</x:v>
      </x:c>
      <x:c r="Q38" s="13" t="str">
        <x:v>2K/4K</x:v>
      </x:c>
      <x:c r="R38" s="13" t="str">
        <x:v>PBR,材质实例,虚拟纹理,性能</x:v>
      </x:c>
      <x:c r="S38" s="13" t="str">
        <x:v>金属磨损主材质用于武器与盔甲磨损。该资产需要与UE5战斗框架中的伤害、动画、音频和特效事件保持一致，通过Gameplay Tag区分状态，并在多人联机模式下避免仅在客户端修改权威战斗数据。</x:v>
      </x:c>
      <x:c r="T38" s="13" t="str">
        <x:v>检查纹理压缩、Streaming Pool占用与Shader复杂度；移动端使用降级实例。</x:v>
      </x:c>
      <x:c r="U38" s="20" t="n">
        <x:v>46104</x:v>
      </x:c>
      <x:c r="V38" s="20" t="n">
        <x:v>46108</x:v>
      </x:c>
      <x:c r="W38" s="13" t="str">
        <x:v>否</x:v>
      </x:c>
    </x:row>
    <x:row r="39">
      <x:c r="A39" s="13" t="str">
        <x:v>AST-0038</x:v>
      </x:c>
      <x:c r="B39" s="13" t="str">
        <x:v>遗迹石材纹理集</x:v>
      </x:c>
      <x:c r="C39" s="13" t="str">
        <x:v>Ruins_Stone_Texture_Set</x:v>
      </x:c>
      <x:c r="D39" s="13" t="str">
        <x:v>材质与纹理</x:v>
      </x:c>
      <x:c r="E39" s="13" t="str">
        <x:v>PBR纹理</x:v>
      </x:c>
      <x:c r="F39" s="13" t="str">
        <x:v>遗迹墙体/地面</x:v>
      </x:c>
      <x:c r="G39" s="13" t="str">
        <x:v>/Game/Textures/Environment/Ruins</x:v>
      </x:c>
      <x:c r="H39" s="13" t="str">
        <x:v>PNG/TGA + uasset</x:v>
      </x:c>
      <x:c r="I39" s="13" t="str">
        <x:v>扫描资产</x:v>
      </x:c>
      <x:c r="J39" s="13" t="str">
        <x:v>商业许可</x:v>
      </x:c>
      <x:c r="K39" s="13" t="str">
        <x:v>周航</x:v>
      </x:c>
      <x:c r="L39" s="13" t="str">
        <x:v>已完成</x:v>
      </x:c>
      <x:c r="M39" s="13" t="str">
        <x:v>P2</x:v>
      </x:c>
      <x:c r="N39" s="13" t="str">
        <x:v>v3.2</x:v>
      </x:c>
      <x:c r="O39" s="16" t="n">
        <x:v>84.2</x:v>
      </x:c>
      <x:c r="P39" s="18" t="n">
        <x:v>0</x:v>
      </x:c>
      <x:c r="Q39" s="13" t="str">
        <x:v>2K/4K</x:v>
      </x:c>
      <x:c r="R39" s="13" t="str">
        <x:v>PBR,材质实例,虚拟纹理,性能</x:v>
      </x:c>
      <x:c r="S39" s="13" t="str">
        <x:v>遗迹石材纹理集用于遗迹墙体/地面。该资产需要与UE5战斗框架中的伤害、动画、音频和特效事件保持一致，通过Gameplay Tag区分状态，并在多人联机模式下避免仅在客户端修改权威战斗数据。</x:v>
      </x:c>
      <x:c r="T39" s="13" t="str">
        <x:v>检查纹理压缩、Streaming Pool占用与Shader复杂度；移动端使用降级实例。</x:v>
      </x:c>
      <x:c r="U39" s="20" t="n">
        <x:v>46106</x:v>
      </x:c>
      <x:c r="V39" s="20" t="n">
        <x:v>46111</x:v>
      </x:c>
      <x:c r="W39" s="13" t="str">
        <x:v>否</x:v>
      </x:c>
    </x:row>
    <x:row r="40">
      <x:c r="A40" s="13" t="str">
        <x:v>AST-0039</x:v>
      </x:c>
      <x:c r="B40" s="13" t="str">
        <x:v>积雪地表材质</x:v>
      </x:c>
      <x:c r="C40" s="13" t="str">
        <x:v>Snow_Surface_Material</x:v>
      </x:c>
      <x:c r="D40" s="13" t="str">
        <x:v>材质与纹理</x:v>
      </x:c>
      <x:c r="E40" s="13" t="str">
        <x:v>地表材质</x:v>
      </x:c>
      <x:c r="F40" s="13" t="str">
        <x:v>雪地脚印/动态混合</x:v>
      </x:c>
      <x:c r="G40" s="13" t="str">
        <x:v>/Game/Materials/Landscape/M_Snow_Surface</x:v>
      </x:c>
      <x:c r="H40" s="13" t="str">
        <x:v>PNG/TGA + uasset</x:v>
      </x:c>
      <x:c r="I40" s="13" t="str">
        <x:v>商城购买</x:v>
      </x:c>
      <x:c r="J40" s="13" t="str">
        <x:v>商业许可</x:v>
      </x:c>
      <x:c r="K40" s="13" t="str">
        <x:v>陈晨</x:v>
      </x:c>
      <x:c r="L40" s="13" t="str">
        <x:v>待评审</x:v>
      </x:c>
      <x:c r="M40" s="13" t="str">
        <x:v>P1</x:v>
      </x:c>
      <x:c r="N40" s="13" t="str">
        <x:v>v1.3</x:v>
      </x:c>
      <x:c r="O40" s="16" t="n">
        <x:v>91.8</x:v>
      </x:c>
      <x:c r="P40" s="18" t="n">
        <x:v>0</x:v>
      </x:c>
      <x:c r="Q40" s="13" t="str">
        <x:v>2K/4K</x:v>
      </x:c>
      <x:c r="R40" s="13" t="str">
        <x:v>PBR,材质实例,虚拟纹理,性能</x:v>
      </x:c>
      <x:c r="S40" s="13" t="str">
        <x:v>积雪地表材质用于雪地脚印/动态混合。该资产需要与UE5战斗框架中的伤害、动画、音频和特效事件保持一致，通过Gameplay Tag区分状态，并在多人联机模式下避免仅在客户端修改权威战斗数据。</x:v>
      </x:c>
      <x:c r="T40" s="13" t="str">
        <x:v>检查纹理压缩、Streaming Pool占用与Shader复杂度；移动端使用降级实例。</x:v>
      </x:c>
      <x:c r="U40" s="20" t="n">
        <x:v>46108</x:v>
      </x:c>
      <x:c r="V40" s="20" t="n">
        <x:v>46114</x:v>
      </x:c>
      <x:c r="W40" s="13" t="str">
        <x:v>否</x:v>
      </x:c>
    </x:row>
    <x:row r="41">
      <x:c r="A41" s="13" t="str">
        <x:v>AST-0040</x:v>
      </x:c>
      <x:c r="B41" s="13" t="str">
        <x:v>命中闪白材质函数</x:v>
      </x:c>
      <x:c r="C41" s="13" t="str">
        <x:v>Hit_Flash_Material_Function</x:v>
      </x:c>
      <x:c r="D41" s="13" t="str">
        <x:v>材质与纹理</x:v>
      </x:c>
      <x:c r="E41" s="13" t="str">
        <x:v>材质函数</x:v>
      </x:c>
      <x:c r="F41" s="13" t="str">
        <x:v>角色受击视觉反馈</x:v>
      </x:c>
      <x:c r="G41" s="13" t="str">
        <x:v>/Game/Materials/Functions/MF_HitFlash</x:v>
      </x:c>
      <x:c r="H41" s="13" t="str">
        <x:v>PNG/TGA + uasset</x:v>
      </x:c>
      <x:c r="I41" s="13" t="str">
        <x:v>自研</x:v>
      </x:c>
      <x:c r="J41" s="13" t="str">
        <x:v>项目内部使用</x:v>
      </x:c>
      <x:c r="K41" s="13" t="str">
        <x:v>王琳</x:v>
      </x:c>
      <x:c r="L41" s="13" t="str">
        <x:v>已阻塞</x:v>
      </x:c>
      <x:c r="M41" s="13" t="str">
        <x:v>P0</x:v>
      </x:c>
      <x:c r="N41" s="13" t="str">
        <x:v>v2.4</x:v>
      </x:c>
      <x:c r="O41" s="16" t="n">
        <x:v>99.4</x:v>
      </x:c>
      <x:c r="P41" s="18" t="n">
        <x:v>0</x:v>
      </x:c>
      <x:c r="Q41" s="13" t="str">
        <x:v>2K/4K</x:v>
      </x:c>
      <x:c r="R41" s="13" t="str">
        <x:v>PBR,材质实例,虚拟纹理,性能</x:v>
      </x:c>
      <x:c r="S41" s="13" t="str">
        <x:v>命中闪白材质函数用于角色受击视觉反馈。该资产需要与UE5战斗框架中的伤害、动画、音频和特效事件保持一致，通过Gameplay Tag区分状态，并在多人联机模式下避免仅在客户端修改权威战斗数据。</x:v>
      </x:c>
      <x:c r="T41" s="13" t="str">
        <x:v>检查纹理压缩、Streaming Pool占用与Shader复杂度；移动端使用降级实例。</x:v>
      </x:c>
      <x:c r="U41" s="20" t="n">
        <x:v>46110</x:v>
      </x:c>
      <x:c r="V41" s="20" t="n">
        <x:v>46117</x:v>
      </x:c>
      <x:c r="W41" s="13" t="str">
        <x:v>否</x:v>
      </x:c>
    </x:row>
    <x:row r="42">
      <x:c r="A42" s="13" t="str">
        <x:v>AST-0041</x:v>
      </x:c>
      <x:c r="B42" s="13" t="str">
        <x:v>战斗属性数据表</x:v>
      </x:c>
      <x:c r="C42" s="13" t="str">
        <x:v>Combat_Attribute_DataTable</x:v>
      </x:c>
      <x:c r="D42" s="13" t="str">
        <x:v>蓝图与数据</x:v>
      </x:c>
      <x:c r="E42" s="13" t="str">
        <x:v>数据表</x:v>
      </x:c>
      <x:c r="F42" s="13" t="str">
        <x:v>生命/攻击/防御/韧性</x:v>
      </x:c>
      <x:c r="G42" s="13" t="str">
        <x:v>/Game/Data/Combat/DT_CombatAttributes</x:v>
      </x:c>
      <x:c r="H42" s="13" t="str">
        <x:v>uasset/CSV/JSON</x:v>
      </x:c>
      <x:c r="I42" s="13" t="str">
        <x:v>自研</x:v>
      </x:c>
      <x:c r="J42" s="13" t="str">
        <x:v>项目内部使用</x:v>
      </x:c>
      <x:c r="K42" s="13" t="str">
        <x:v>林溪</x:v>
      </x:c>
      <x:c r="L42" s="13" t="str">
        <x:v>制作中</x:v>
      </x:c>
      <x:c r="M42" s="13" t="str">
        <x:v>P2</x:v>
      </x:c>
      <x:c r="N42" s="13" t="str">
        <x:v>v3.0</x:v>
      </x:c>
      <x:c r="O42" s="16" t="n">
        <x:v>3.5</x:v>
      </x:c>
      <x:c r="P42" s="18" t="n">
        <x:v>0</x:v>
      </x:c>
      <x:c r="Q42" s="13" t="str">
        <x:v>—</x:v>
      </x:c>
      <x:c r="R42" s="13" t="str">
        <x:v>Blueprint,DataAsset,GameplayTag,配置驱动</x:v>
      </x:c>
      <x:c r="S42" s="13" t="str">
        <x:v>战斗属性数据表用于生命/攻击/防御/韧性。该资产需要与UE5战斗框架中的伤害、动画、音频和特效事件保持一致，通过Gameplay Tag区分状态，并在多人联机模式下避免仅在客户端修改权威战斗数据。</x:v>
      </x:c>
      <x:c r="T42" s="13" t="str">
        <x:v>核心逻辑需避免Tick；配置字段应有默认值、范围校验和版本迁移策略。</x:v>
      </x:c>
      <x:c r="U42" s="20" t="n">
        <x:v>46112</x:v>
      </x:c>
      <x:c r="V42" s="20" t="n">
        <x:v>46120</x:v>
      </x:c>
      <x:c r="W42" s="13" t="str">
        <x:v>否</x:v>
      </x:c>
    </x:row>
    <x:row r="43">
      <x:c r="A43" s="13" t="str">
        <x:v>AST-0042</x:v>
      </x:c>
      <x:c r="B43" s="13" t="str">
        <x:v>伤害计算蓝图组件</x:v>
      </x:c>
      <x:c r="C43" s="13" t="str">
        <x:v>Damage_Calculation_Component</x:v>
      </x:c>
      <x:c r="D43" s="13" t="str">
        <x:v>蓝图与数据</x:v>
      </x:c>
      <x:c r="E43" s="13" t="str">
        <x:v>Actor组件</x:v>
      </x:c>
      <x:c r="F43" s="13" t="str">
        <x:v>基础伤害/暴击/减伤</x:v>
      </x:c>
      <x:c r="G43" s="13" t="str">
        <x:v>/Game/Blueprints/Combat/BPC_DamageCalculation</x:v>
      </x:c>
      <x:c r="H43" s="13" t="str">
        <x:v>uasset/CSV/JSON</x:v>
      </x:c>
      <x:c r="I43" s="13" t="str">
        <x:v>自研</x:v>
      </x:c>
      <x:c r="J43" s="13" t="str">
        <x:v>项目内部使用</x:v>
      </x:c>
      <x:c r="K43" s="13" t="str">
        <x:v>赵凯</x:v>
      </x:c>
      <x:c r="L43" s="13" t="str">
        <x:v>待采购</x:v>
      </x:c>
      <x:c r="M43" s="13" t="str">
        <x:v>P1</x:v>
      </x:c>
      <x:c r="N43" s="13" t="str">
        <x:v>v1.1</x:v>
      </x:c>
      <x:c r="O43" s="16" t="n">
        <x:v>2</x:v>
      </x:c>
      <x:c r="P43" s="18" t="n">
        <x:v>0</x:v>
      </x:c>
      <x:c r="Q43" s="13" t="str">
        <x:v>—</x:v>
      </x:c>
      <x:c r="R43" s="13" t="str">
        <x:v>Blueprint,DataAsset,GameplayTag,配置驱动</x:v>
      </x:c>
      <x:c r="S43" s="13" t="str">
        <x:v>伤害计算蓝图组件用于基础伤害/暴击/减伤。该资产需要与UE5战斗框架中的伤害、动画、音频和特效事件保持一致，通过Gameplay Tag区分状态，并在多人联机模式下避免仅在客户端修改权威战斗数据。</x:v>
      </x:c>
      <x:c r="T43" s="13" t="str">
        <x:v>核心逻辑需避免Tick；配置字段应有默认值、范围校验和版本迁移策略。</x:v>
      </x:c>
      <x:c r="U43" s="20" t="n">
        <x:v>46114</x:v>
      </x:c>
      <x:c r="V43" s="20" t="n">
        <x:v>46123</x:v>
      </x:c>
      <x:c r="W43" s="13" t="str">
        <x:v>是</x:v>
      </x:c>
    </x:row>
    <x:row r="44">
      <x:c r="A44" s="13" t="str">
        <x:v>AST-0043</x:v>
      </x:c>
      <x:c r="B44" s="13" t="str">
        <x:v>锁定目标组件</x:v>
      </x:c>
      <x:c r="C44" s="13" t="str">
        <x:v>Target_Lock_Component</x:v>
      </x:c>
      <x:c r="D44" s="13" t="str">
        <x:v>蓝图与数据</x:v>
      </x:c>
      <x:c r="E44" s="13" t="str">
        <x:v>Actor组件</x:v>
      </x:c>
      <x:c r="F44" s="13" t="str">
        <x:v>目标筛选/切换/丢失</x:v>
      </x:c>
      <x:c r="G44" s="13" t="str">
        <x:v>/Game/Blueprints/Combat/BPC_TargetLock</x:v>
      </x:c>
      <x:c r="H44" s="13" t="str">
        <x:v>uasset/CSV/JSON</x:v>
      </x:c>
      <x:c r="I44" s="13" t="str">
        <x:v>自研</x:v>
      </x:c>
      <x:c r="J44" s="13" t="str">
        <x:v>项目内部使用</x:v>
      </x:c>
      <x:c r="K44" s="13" t="str">
        <x:v>周航</x:v>
      </x:c>
      <x:c r="L44" s="13" t="str">
        <x:v>已完成</x:v>
      </x:c>
      <x:c r="M44" s="13" t="str">
        <x:v>P0</x:v>
      </x:c>
      <x:c r="N44" s="13" t="str">
        <x:v>v2.2</x:v>
      </x:c>
      <x:c r="O44" s="16" t="n">
        <x:v>2.3</x:v>
      </x:c>
      <x:c r="P44" s="18" t="n">
        <x:v>0</x:v>
      </x:c>
      <x:c r="Q44" s="13" t="str">
        <x:v>—</x:v>
      </x:c>
      <x:c r="R44" s="13" t="str">
        <x:v>Blueprint,DataAsset,GameplayTag,配置驱动</x:v>
      </x:c>
      <x:c r="S44" s="13" t="str">
        <x:v>锁定目标组件用于目标筛选/切换/丢失。该资产需要与UE5战斗框架中的伤害、动画、音频和特效事件保持一致，通过Gameplay Tag区分状态，并在多人联机模式下避免仅在客户端修改权威战斗数据。</x:v>
      </x:c>
      <x:c r="T44" s="13" t="str">
        <x:v>核心逻辑需避免Tick；配置字段应有默认值、范围校验和版本迁移策略。</x:v>
      </x:c>
      <x:c r="U44" s="20" t="n">
        <x:v>46116</x:v>
      </x:c>
      <x:c r="V44" s="20" t="n">
        <x:v>46126</x:v>
      </x:c>
      <x:c r="W44" s="13" t="str">
        <x:v>是</x:v>
      </x:c>
    </x:row>
    <x:row r="45">
      <x:c r="A45" s="13" t="str">
        <x:v>AST-0044</x:v>
      </x:c>
      <x:c r="B45" s="13" t="str">
        <x:v>敌人行为树模板</x:v>
      </x:c>
      <x:c r="C45" s="13" t="str">
        <x:v>Enemy_BehaviorTree_Template</x:v>
      </x:c>
      <x:c r="D45" s="13" t="str">
        <x:v>蓝图与数据</x:v>
      </x:c>
      <x:c r="E45" s="13" t="str">
        <x:v>AI资产</x:v>
      </x:c>
      <x:c r="F45" s="13" t="str">
        <x:v>巡逻/追击/攻击/撤退</x:v>
      </x:c>
      <x:c r="G45" s="13" t="str">
        <x:v>/Game/AI/BehaviorTrees/BT_Enemy_Base</x:v>
      </x:c>
      <x:c r="H45" s="13" t="str">
        <x:v>uasset/CSV/JSON</x:v>
      </x:c>
      <x:c r="I45" s="13" t="str">
        <x:v>自研</x:v>
      </x:c>
      <x:c r="J45" s="13" t="str">
        <x:v>项目内部使用</x:v>
      </x:c>
      <x:c r="K45" s="13" t="str">
        <x:v>陈晨</x:v>
      </x:c>
      <x:c r="L45" s="13" t="str">
        <x:v>待评审</x:v>
      </x:c>
      <x:c r="M45" s="13" t="str">
        <x:v>P3</x:v>
      </x:c>
      <x:c r="N45" s="13" t="str">
        <x:v>v3.3</x:v>
      </x:c>
      <x:c r="O45" s="16" t="n">
        <x:v>2.5</x:v>
      </x:c>
      <x:c r="P45" s="18" t="n">
        <x:v>0</x:v>
      </x:c>
      <x:c r="Q45" s="13" t="str">
        <x:v>—</x:v>
      </x:c>
      <x:c r="R45" s="13" t="str">
        <x:v>Blueprint,DataAsset,GameplayTag,配置驱动</x:v>
      </x:c>
      <x:c r="S45" s="13" t="str">
        <x:v>敌人行为树模板用于巡逻/追击/攻击/撤退。该资产需要与UE5战斗框架中的伤害、动画、音频和特效事件保持一致，通过Gameplay Tag区分状态，并在多人联机模式下避免仅在客户端修改权威战斗数据。</x:v>
      </x:c>
      <x:c r="T45" s="13" t="str">
        <x:v>核心逻辑需避免Tick；配置字段应有默认值、范围校验和版本迁移策略。</x:v>
      </x:c>
      <x:c r="U45" s="20" t="n">
        <x:v>46118</x:v>
      </x:c>
      <x:c r="V45" s="20" t="n">
        <x:v>46129</x:v>
      </x:c>
      <x:c r="W45" s="13" t="str">
        <x:v>否</x:v>
      </x:c>
    </x:row>
    <x:row r="46">
      <x:c r="A46" s="13" t="str">
        <x:v>AST-0045</x:v>
      </x:c>
      <x:c r="B46" s="13" t="str">
        <x:v>技能配置数据资产</x:v>
      </x:c>
      <x:c r="C46" s="13" t="str">
        <x:v>Ability_Config_DataAsset</x:v>
      </x:c>
      <x:c r="D46" s="13" t="str">
        <x:v>蓝图与数据</x:v>
      </x:c>
      <x:c r="E46" s="13" t="str">
        <x:v>数据资产</x:v>
      </x:c>
      <x:c r="F46" s="13" t="str">
        <x:v>技能冷却/消耗/蒙太奇</x:v>
      </x:c>
      <x:c r="G46" s="13" t="str">
        <x:v>/Game/Data/Abilities/DA_AbilityConfig</x:v>
      </x:c>
      <x:c r="H46" s="13" t="str">
        <x:v>uasset/CSV/JSON</x:v>
      </x:c>
      <x:c r="I46" s="13" t="str">
        <x:v>自研</x:v>
      </x:c>
      <x:c r="J46" s="13" t="str">
        <x:v>项目内部使用</x:v>
      </x:c>
      <x:c r="K46" s="13" t="str">
        <x:v>王琳</x:v>
      </x:c>
      <x:c r="L46" s="13" t="str">
        <x:v>已阻塞</x:v>
      </x:c>
      <x:c r="M46" s="13" t="str">
        <x:v>P2</x:v>
      </x:c>
      <x:c r="N46" s="13" t="str">
        <x:v>v1.4</x:v>
      </x:c>
      <x:c r="O46" s="16" t="n">
        <x:v>2.8</x:v>
      </x:c>
      <x:c r="P46" s="18" t="n">
        <x:v>0</x:v>
      </x:c>
      <x:c r="Q46" s="13" t="str">
        <x:v>—</x:v>
      </x:c>
      <x:c r="R46" s="13" t="str">
        <x:v>Blueprint,DataAsset,GameplayTag,配置驱动</x:v>
      </x:c>
      <x:c r="S46" s="13" t="str">
        <x:v>技能配置数据资产用于技能冷却/消耗/蒙太奇。该资产需要与UE5战斗框架中的伤害、动画、音频和特效事件保持一致，通过Gameplay Tag区分状态，并在多人联机模式下避免仅在客户端修改权威战斗数据。</x:v>
      </x:c>
      <x:c r="T46" s="13" t="str">
        <x:v>核心逻辑需避免Tick；配置字段应有默认值、范围校验和版本迁移策略。</x:v>
      </x:c>
      <x:c r="U46" s="20" t="n">
        <x:v>46120</x:v>
      </x:c>
      <x:c r="V46" s="20" t="n">
        <x:v>46123</x:v>
      </x:c>
      <x:c r="W46" s="13" t="str">
        <x:v>否</x:v>
      </x:c>
    </x:row>
  </x:sheetData>
  <x:conditionalFormatting sqref="L2:L46">
    <x:cfRule type="expression" dxfId="0" priority="1">
      <x:formula>L2="已阻塞"</x:formula>
    </x:cfRule>
    <x:cfRule type="expression" dxfId="1" priority="2">
      <x:formula>L2="已完成"</x:formula>
    </x:cfRule>
  </x:conditionalFormatting>
  <x:conditionalFormatting sqref="M2:M46">
    <x:cfRule type="expression" dxfId="2" priority="3">
      <x:formula>M2="P0"</x:formula>
    </x:cfRule>
  </x:conditionalFormatting>
  <x:conditionalFormatting sqref="O2:O46">
    <x:cfRule type="dataBar" priority="4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{781CCC16-FFE3-9810-1991-18468031AE2F}</x14:id>
        </x:ext>
      </x:extLst>
    </x:cfRule>
  </x:conditionalFormatting>
  <x:dataValidations count="3">
    <x:dataValidation type="list" sqref="L2:L46">
      <x:formula1>"已完成,制作中,待评审,待采购,已阻塞"</x:formula1>
    </x:dataValidation>
    <x:dataValidation type="list" sqref="M2:M46">
      <x:formula1>"P0,P1,P2,P3"</x:formula1>
    </x:dataValidation>
    <x:dataValidation type="list" sqref="W2:W46">
      <x:formula1>"是,否"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c4e646d42ab465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4" id="{781CCC16-FFE3-9810-1991-18468031AE2F}">
            <x14:dataBar gradient="1">
              <x14:cfvo type="min"/>
              <x14:cfvo type="max"/>
              <x14:fillColor rgb="FF5B9BD5"/>
            </x14:dataBar>
          </x14:cfRule>
          <xm:sqref>O2:O46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21" hidden="0" customWidth="1"/>
    <x:col min="2" max="2" width="34" hidden="0" customWidth="1"/>
    <x:col min="3" max="3" width="58" hidden="0" customWidth="1"/>
    <x:col min="4" max="4" width="42" hidden="0" customWidth="1"/>
  </x:cols>
  <x:sheetData>
    <x:row r="1" ht="30" customHeight="1">
      <x:c r="A1" s="25" t="str">
        <x:v>游戏资产分类说明与接入规范</x:v>
      </x:c>
      <x:c r="B1" s="25"/>
      <x:c r="C1" s="25"/>
      <x:c r="D1" s="25"/>
    </x:row>
    <x:row r="2">
      <x:c r="A2" s="34" t="str">
        <x:v>章节</x:v>
      </x:c>
      <x:c r="B2" s="34" t="str">
        <x:v>目标</x:v>
      </x:c>
      <x:c r="C2" s="34" t="str">
        <x:v>接入要求</x:v>
      </x:c>
      <x:c r="D2" s="34" t="str">
        <x:v>典型检索问题</x:v>
      </x:c>
    </x:row>
    <x:row r="3" ht="76" customHeight="1">
      <x:c r="A3" s="13" t="str">
        <x:v>1. 角色资产</x:v>
      </x:c>
      <x:c r="B3" s="13" t="str">
        <x:v>用于承载玩家、敌人和NPC的外观、骨骼、碰撞体及物理表现。</x:v>
      </x:c>
      <x:c r="C3" s="13" t="str">
        <x:v>统一使用项目标准Skeleton；角色根节点朝向X轴正方向；需要提供LOD、Physics Asset和可选布料配置。角色属性和技能配置不得直接硬编码在角色蓝图中。</x:v>
      </x:c>
      <x:c r="D3" s="13" t="str">
        <x:v>哪些角色资产需要提供LOD？遗迹巨像Boss使用什么资源路径？</x:v>
      </x:c>
    </x:row>
    <x:row r="4" ht="76" customHeight="1">
      <x:c r="A4" s="13" t="str">
        <x:v>2. 动画资产</x:v>
      </x:c>
      <x:c r="B4" s="13" t="str">
        <x:v>支持普通攻击、连招、闪避、格挡、受击、处决与Boss阶段演出。</x:v>
      </x:c>
      <x:c r="C4" s="13" t="str">
        <x:v>攻击事件优先通过Anim Montage和Anim Notify State驱动。Root Motion策略必须在资产说明中明确，连招窗口应通过数据配置。</x:v>
      </x:c>
      <x:c r="D4" s="13" t="str">
        <x:v>完美闪避动画如何接入？攻击判定窗口应该放在哪里？</x:v>
      </x:c>
    </x:row>
    <x:row r="5" ht="76" customHeight="1">
      <x:c r="A5" s="13" t="str">
        <x:v>3. 武器与装备</x:v>
      </x:c>
      <x:c r="B5" s="13" t="str">
        <x:v>为近战、远程、防御和角色成长系统提供可装备内容。</x:v>
      </x:c>
      <x:c r="C5" s="13" t="str">
        <x:v>武器模型必须提供握持Socket校验；攻击碰撞使用专用Trace Channel；装备数据使用Data Asset或Data Table管理。</x:v>
      </x:c>
      <x:c r="D5" s="13" t="str">
        <x:v>哪些装备属于高优先级？塔盾需要检查哪些技术问题？</x:v>
      </x:c>
    </x:row>
    <x:row r="6" ht="76" customHeight="1">
      <x:c r="A6" s="13" t="str">
        <x:v>4. 环境与场景</x:v>
      </x:c>
      <x:c r="B6" s="13" t="str">
        <x:v>用于构建遗迹、森林、村庄和洞穴等战斗空间。</x:v>
      </x:c>
      <x:c r="C6" s="13" t="str">
        <x:v>大型静态网格优先评估Nanite；开放区域使用World Partition；需要明确碰撞复杂度、HLOD与光照方案。</x:v>
      </x:c>
      <x:c r="D6" s="13" t="str">
        <x:v>哪些环境资产需要World Partition？可破坏石柱用于什么场景？</x:v>
      </x:c>
    </x:row>
    <x:row r="7" ht="76" customHeight="1">
      <x:c r="A7" s="13" t="str">
        <x:v>5. 特效与音频</x:v>
      </x:c>
      <x:c r="B7" s="13" t="str">
        <x:v>为攻击、命中、状态异常、技能和Boss演出提供即时反馈。</x:v>
      </x:c>
      <x:c r="C7" s="13" t="str">
        <x:v>Niagara效果必须区分质量档位；音频需统一响度并支持空间衰减。战斗事件由Gameplay Cue或统一事件总线触发。</x:v>
      </x:c>
      <x:c r="D7" s="13" t="str">
        <x:v>Boss核心爆炸有哪些性能风险？完美格挡包含哪些反馈资产？</x:v>
      </x:c>
    </x:row>
    <x:row r="8" ht="76" customHeight="1">
      <x:c r="A8" s="13" t="str">
        <x:v>6. UI与数据资产</x:v>
      </x:c>
      <x:c r="B8" s="13" t="str">
        <x:v>负责战斗信息呈现、输入提示，以及属性、技能和AI配置。</x:v>
      </x:c>
      <x:c r="C8" s="13" t="str">
        <x:v>UI需要支持本地化、手柄导航和多分辨率；核心数值配置需提供字段校验、默认值和版本迁移。</x:v>
      </x:c>
      <x:c r="D8" s="13" t="str">
        <x:v>战斗HUD展示哪些信息？技能配置数据资产包含什么内容？</x:v>
      </x:c>
    </x:row>
    <x:row r="9" ht="76" customHeight="1">
      <x:c r="A9" s="13" t="str">
        <x:v>7. RAG测试建议</x:v>
      </x:c>
      <x:c r="B9" s="13" t="str">
        <x:v>验证Excel的Record与Section两种Chunk模式是否能够同时工作。</x:v>
      </x:c>
      <x:c r="C9" s="13" t="str">
        <x:v>资产清单按行生成Chunk，稳定身份使用资产ID；分类说明按章节生成Chunk，章节标题作为稳定Section Key。修改某一行时不应导致其他资产重新Embedding。</x:v>
      </x:c>
      <x:c r="D9" s="13" t="str">
        <x:v>如何设计Excel稳定行身份？资产清单适合哪种Chunk模式？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32" hidden="0" customWidth="1"/>
    <x:col min="4" max="4" width="38" hidden="0" customWidth="1"/>
    <x:col min="5" max="5" width="30" hidden="0" customWidth="1"/>
    <x:col min="6" max="6" width="16" hidden="0" customWidth="1"/>
  </x:cols>
  <x:sheetData>
    <x:row r="1">
      <x:c r="A1" s="43" t="str">
        <x:v>来源类型</x:v>
      </x:c>
      <x:c r="B1" s="43" t="str">
        <x:v>示例供应商/团队</x:v>
      </x:c>
      <x:c r="C1" s="43" t="str">
        <x:v>允许用途</x:v>
      </x:c>
      <x:c r="D1" s="43" t="str">
        <x:v>禁止事项</x:v>
      </x:c>
      <x:c r="E1" s="43" t="str">
        <x:v>归档凭证</x:v>
      </x:c>
      <x:c r="F1" s="43" t="str">
        <x:v>复核周期（月）</x:v>
      </x:c>
    </x:row>
    <x:row r="2" ht="52" customHeight="1">
      <x:c r="A2" s="13" t="str">
        <x:v>自研</x:v>
      </x:c>
      <x:c r="B2" s="13" t="str">
        <x:v>内部美术与程序团队</x:v>
      </x:c>
      <x:c r="C2" s="13" t="str">
        <x:v>项目内使用、修改、发布</x:v>
      </x:c>
      <x:c r="D2" s="13" t="str">
        <x:v>未经批准对外分发源文件</x:v>
      </x:c>
      <x:c r="E2" s="13" t="str">
        <x:v>Git/LFS提交与任务单</x:v>
      </x:c>
      <x:c r="F2" s="13" t="n">
        <x:v>12</x:v>
      </x:c>
    </x:row>
    <x:row r="3" ht="52" customHeight="1">
      <x:c r="A3" s="13" t="str">
        <x:v>外包定制</x:v>
      </x:c>
      <x:c r="B3" s="13" t="str">
        <x:v>外包角色与动画工作室</x:v>
      </x:c>
      <x:c r="C3" s="13" t="str">
        <x:v>按合同约定用于本项目</x:v>
      </x:c>
      <x:c r="D3" s="13" t="str">
        <x:v>跨项目复用、转售</x:v>
      </x:c>
      <x:c r="E3" s="13" t="str">
        <x:v>合同、验收单、发票</x:v>
      </x:c>
      <x:c r="F3" s="13" t="n">
        <x:v>6</x:v>
      </x:c>
    </x:row>
    <x:row r="4" ht="52" customHeight="1">
      <x:c r="A4" s="13" t="str">
        <x:v>商城购买</x:v>
      </x:c>
      <x:c r="B4" s="13" t="str">
        <x:v>Fab Marketplace / 资产商城</x:v>
      </x:c>
      <x:c r="C4" s="13" t="str">
        <x:v>按商业许可集成到成品</x:v>
      </x:c>
      <x:c r="D4" s="13" t="str">
        <x:v>直接转售原始资产包</x:v>
      </x:c>
      <x:c r="E4" s="13" t="str">
        <x:v>订单、许可证快照</x:v>
      </x:c>
      <x:c r="F4" s="13" t="n">
        <x:v>6</x:v>
      </x:c>
    </x:row>
    <x:row r="5" ht="52" customHeight="1">
      <x:c r="A5" s="13" t="str">
        <x:v>扫描资产</x:v>
      </x:c>
      <x:c r="B5" s="13" t="str">
        <x:v>扫描素材供应商</x:v>
      </x:c>
      <x:c r="C5" s="13" t="str">
        <x:v>用于环境和材质制作</x:v>
      </x:c>
      <x:c r="D5" s="13" t="str">
        <x:v>超出席位或项目范围使用</x:v>
      </x:c>
      <x:c r="E5" s="13" t="str">
        <x:v>订阅记录、资产来源URL</x:v>
      </x:c>
      <x:c r="F5" s="13" t="n">
        <x:v>3</x:v>
      </x:c>
    </x:row>
    <x:row r="6" ht="52" customHeight="1">
      <x:c r="A6" s="13" t="str">
        <x:v>音频素材库</x:v>
      </x:c>
      <x:c r="B6" s="13" t="str">
        <x:v>商业音效与音乐素材库</x:v>
      </x:c>
      <x:c r="C6" s="13" t="str">
        <x:v>用于成品游戏及宣传片</x:v>
      </x:c>
      <x:c r="D6" s="13" t="str">
        <x:v>单独分发音频源文件</x:v>
      </x:c>
      <x:c r="E6" s="13" t="str">
        <x:v>许可证PDF、下载记录</x:v>
      </x:c>
      <x:c r="F6" s="13" t="n">
        <x:v>6</x:v>
      </x:c>
    </x:row>
    <x:row r="7" ht="52" customHeight="1">
      <x:c r="A7" s="13" t="str">
        <x:v>动作捕捉</x:v>
      </x:c>
      <x:c r="B7" s="13" t="str">
        <x:v>内部动捕棚/动捕服务商</x:v>
      </x:c>
      <x:c r="C7" s="13" t="str">
        <x:v>清理后用于角色动画</x:v>
      </x:c>
      <x:c r="D7" s="13" t="str">
        <x:v>未经授权使用演员肖像或原始表演数据</x:v>
      </x:c>
      <x:c r="E7" s="13" t="str">
        <x:v>演员授权书、交付清单</x:v>
      </x:c>
      <x:c r="F7" s="13" t="n">
        <x:v>12</x:v>
      </x:c>
    </x:row>
    <x:row r="8" ht="52" customHeight="1">
      <x:c r="A8" s="13" t="str">
        <x:v>配音录制</x:v>
      </x:c>
      <x:c r="B8" s="13" t="str">
        <x:v>配音演员与录音棚</x:v>
      </x:c>
      <x:c r="C8" s="13" t="str">
        <x:v>按角色和语言版本使用</x:v>
      </x:c>
      <x:c r="D8" s="13" t="str">
        <x:v>超出合同媒介或期限使用</x:v>
      </x:c>
      <x:c r="E8" s="13" t="str">
        <x:v>授权协议、台词表</x:v>
      </x:c>
      <x:c r="F8" s="13" t="n">
        <x:v>12</x:v>
      </x:c>
    </x:row>
  </x:sheetData>
  <x:pageMargins left="0.7" right="0.7" top="0.75" bottom="0.75" header="0.3" footer="0.3"/>
  <x:tableParts count="1">
    <x:tablePart xmlns:r="http://schemas.openxmlformats.org/officeDocument/2006/relationships" r:id="Rc074fa7386a04b4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4" max="4" width="18" hidden="0" customWidth="1"/>
    <x:col min="5" max="5" width="14" hidden="0" customWidth="1"/>
    <x:col min="6" max="6" width="14" hidden="0" customWidth="1"/>
  </x:cols>
  <x:sheetData>
    <x:row r="1" ht="32" customHeight="1">
      <x:c r="A1" s="51" t="str">
        <x:v>游戏开发资产库概览</x:v>
      </x:c>
      <x:c r="B1" s="51"/>
      <x:c r="C1" s="51"/>
      <x:c r="D1" s="51"/>
      <x:c r="E1" s="51"/>
      <x:c r="F1" s="51"/>
      <x:c r="G1" s="51"/>
      <x:c r="H1" s="51"/>
    </x:row>
    <x:row r="3">
      <x:c r="A3" s="58" t="str">
        <x:v>指标</x:v>
      </x:c>
      <x:c r="B3" s="58" t="str">
        <x:v>数值</x:v>
      </x:c>
      <x:c r="D3" s="58" t="str">
        <x:v>一级分类</x:v>
      </x:c>
      <x:c r="E3" s="58" t="str">
        <x:v>资产数量</x:v>
      </x:c>
      <x:c r="F3" s="58" t="str">
        <x:v>总大小(MB)</x:v>
      </x:c>
    </x:row>
    <x:row r="4">
      <x:c r="A4" s="62" t="str">
        <x:v>资产总数</x:v>
      </x:c>
      <x:c r="B4" s="62" t="n">
        <x:f>COUNTA('资产清单'!A2:A46)</x:f>
        <x:v>45</x:v>
      </x:c>
      <x:c r="D4" s="62" t="str">
        <x:v>角色</x:v>
      </x:c>
      <x:c r="E4" s="62" t="n">
        <x:f>COUNTIF('资产清单'!D2:D46,D4)</x:f>
        <x:v>5</x:v>
      </x:c>
      <x:c r="F4" s="63" t="n">
        <x:f>SUMIF('资产清单'!D2:D46,D4,'资产清单'!O2:O46)</x:f>
        <x:v>831.6</x:v>
      </x:c>
    </x:row>
    <x:row r="5">
      <x:c r="A5" s="62" t="str">
        <x:v>已完成资产</x:v>
      </x:c>
      <x:c r="B5" s="62" t="n">
        <x:f>COUNTIF('资产清单'!L2:L46,"已完成")</x:f>
        <x:v>9</x:v>
      </x:c>
      <x:c r="D5" s="62" t="str">
        <x:v>动画</x:v>
      </x:c>
      <x:c r="E5" s="62" t="n">
        <x:f>COUNTIF('资产清单'!D2:D46,D5)</x:f>
        <x:v>5</x:v>
      </x:c>
      <x:c r="F5" s="63" t="n">
        <x:f>SUMIF('资产清单'!D2:D46,D5,'资产清单'!O2:O46)</x:f>
        <x:v>105.3</x:v>
      </x:c>
    </x:row>
    <x:row r="6">
      <x:c r="A6" s="62" t="str">
        <x:v>阻塞资产</x:v>
      </x:c>
      <x:c r="B6" s="62" t="n">
        <x:f>COUNTIF('资产清单'!L2:L46,"已阻塞")</x:f>
        <x:v>9</x:v>
      </x:c>
      <x:c r="D6" s="62" t="str">
        <x:v>武器与装备</x:v>
      </x:c>
      <x:c r="E6" s="62" t="n">
        <x:f>COUNTIF('资产清单'!D2:D46,D6)</x:f>
        <x:v>5</x:v>
      </x:c>
      <x:c r="F6" s="63" t="n">
        <x:f>SUMIF('资产清单'!D2:D46,D6,'资产清单'!O2:O46)</x:f>
        <x:v>242</x:v>
      </x:c>
    </x:row>
    <x:row r="7">
      <x:c r="A7" s="62" t="str">
        <x:v>核心资产</x:v>
      </x:c>
      <x:c r="B7" s="62" t="n">
        <x:f>COUNTIF('资产清单'!W2:W46,"是")</x:f>
        <x:v>9</x:v>
      </x:c>
      <x:c r="D7" s="62" t="str">
        <x:v>环境与场景</x:v>
      </x:c>
      <x:c r="E7" s="62" t="n">
        <x:f>COUNTIF('资产清单'!D2:D46,D7)</x:f>
        <x:v>5</x:v>
      </x:c>
      <x:c r="F7" s="63" t="n">
        <x:f>SUMIF('资产清单'!D2:D46,D7,'资产清单'!O2:O46)</x:f>
        <x:v>2268</x:v>
      </x:c>
    </x:row>
    <x:row r="8">
      <x:c r="D8" s="62" t="str">
        <x:v>特效</x:v>
      </x:c>
      <x:c r="E8" s="62" t="n">
        <x:f>COUNTIF('资产清单'!D2:D46,D8)</x:f>
        <x:v>5</x:v>
      </x:c>
      <x:c r="F8" s="63" t="n">
        <x:f>SUMIF('资产清单'!D2:D46,D8,'资产清单'!O2:O46)</x:f>
        <x:v>162</x:v>
      </x:c>
    </x:row>
    <x:row r="9">
      <x:c r="D9" s="62" t="str">
        <x:v>音频</x:v>
      </x:c>
      <x:c r="E9" s="62" t="n">
        <x:f>COUNTIF('资产清单'!D2:D46,D9)</x:f>
        <x:v>5</x:v>
      </x:c>
      <x:c r="F9" s="63" t="n">
        <x:f>SUMIF('资产清单'!D2:D46,D9,'资产清单'!O2:O46)</x:f>
        <x:v>87.6</x:v>
      </x:c>
    </x:row>
    <x:row r="10">
      <x:c r="D10" s="62" t="str">
        <x:v>UI</x:v>
      </x:c>
      <x:c r="E10" s="62" t="n">
        <x:f>COUNTIF('资产清单'!D2:D46,D10)</x:f>
        <x:v>5</x:v>
      </x:c>
      <x:c r="F10" s="63" t="n">
        <x:f>SUMIF('资产清单'!D2:D46,D10,'资产清单'!O2:O46)</x:f>
        <x:v>49.6</x:v>
      </x:c>
    </x:row>
    <x:row r="11">
      <x:c r="D11" s="62" t="str">
        <x:v>材质与纹理</x:v>
      </x:c>
      <x:c r="E11" s="62" t="n">
        <x:f>COUNTIF('资产清单'!D2:D46,D11)</x:f>
        <x:v>5</x:v>
      </x:c>
      <x:c r="F11" s="63" t="n">
        <x:f>SUMIF('资产清单'!D2:D46,D11,'资产清单'!O2:O46)</x:f>
        <x:v>420.70000000000005</x:v>
      </x:c>
    </x:row>
    <x:row r="12">
      <x:c r="D12" s="62" t="str">
        <x:v>蓝图与数据</x:v>
      </x:c>
      <x:c r="E12" s="62" t="n">
        <x:f>COUNTIF('资产清单'!D2:D46,D12)</x:f>
        <x:v>5</x:v>
      </x:c>
      <x:c r="F12" s="63" t="n">
        <x:f>SUMIF('资产清单'!D2:D46,D12,'资产清单'!O2:O46)</x:f>
        <x:v>13.100000000000001</x:v>
      </x:c>
    </x:row>
    <x:row r="13">
      <x:c r="D13" s="62" t="str">
        <x:v>合计</x:v>
      </x:c>
      <x:c r="E13" s="62" t="n">
        <x:f>SUM(E4:E12)</x:f>
        <x:v>45</x:v>
      </x:c>
      <x:c r="F13" s="63" t="n">
        <x:f>SUM(F4:F12)</x:f>
        <x:v>4179.900000000001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1241774b41064487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2" hidden="0" customWidth="1"/>
    <x:col min="3" max="3" width="44" hidden="0" customWidth="1"/>
  </x:cols>
  <x:sheetData>
    <x:row r="1">
      <x:c r="A1" s="67" t="str">
        <x:v>测试项</x:v>
      </x:c>
      <x:c r="B1" s="67" t="str">
        <x:v>建议验证内容</x:v>
      </x:c>
      <x:c r="C1" s="67" t="str">
        <x:v>预期结果</x:v>
      </x:c>
    </x:row>
    <x:row r="2" ht="54" customHeight="1">
      <x:c r="A2" s="13" t="str">
        <x:v>基础文本提取</x:v>
      </x:c>
      <x:c r="B2" s="13" t="str">
        <x:v>检索“完美格挡”“World Partition”“Root Motion”等关键词。</x:v>
      </x:c>
      <x:c r="C2" s="13" t="str">
        <x:v>能够命中对应资产行或分类章节。</x:v>
      </x:c>
    </x:row>
    <x:row r="3" ht="54" customHeight="1">
      <x:c r="A3" s="13" t="str">
        <x:v>Record模式</x:v>
      </x:c>
      <x:c r="B3" s="13" t="str">
        <x:v>资产清单每一行作为独立记录，使用资产ID作为稳定行身份。</x:v>
      </x:c>
      <x:c r="C3" s="13" t="str">
        <x:v>修改AST-0007时，只更新该资产对应Chunk。</x:v>
      </x:c>
    </x:row>
    <x:row r="4" ht="54" customHeight="1">
      <x:c r="A4" s="13" t="str">
        <x:v>Section模式</x:v>
      </x:c>
      <x:c r="B4" s="13" t="str">
        <x:v>分类说明按照“1.角色资产”等章节标题分块。</x:v>
      </x:c>
      <x:c r="C4" s="13" t="str">
        <x:v>章节顺序变化时，稳定Section Key仍能保持Chunk身份。</x:v>
      </x:c>
    </x:row>
    <x:row r="5" ht="54" customHeight="1">
      <x:c r="A5" s="13" t="str">
        <x:v>字段过滤</x:v>
      </x:c>
      <x:c r="B5" s="13" t="str">
        <x:v>按一级分类、制作状态、优先级、负责人、许可证过滤。</x:v>
      </x:c>
      <x:c r="C5" s="13" t="str">
        <x:v>结构化metadata可用于检索前过滤。</x:v>
      </x:c>
    </x:row>
    <x:row r="6" ht="54" customHeight="1">
      <x:c r="A6" s="13" t="str">
        <x:v>中英文混合</x:v>
      </x:c>
      <x:c r="B6" s="13" t="str">
        <x:v>检索“Greatsword”“Niagara”“战斗HUD”。</x:v>
      </x:c>
      <x:c r="C6" s="13" t="str">
        <x:v>中英文关键词均能召回相关记录。</x:v>
      </x:c>
    </x:row>
    <x:row r="7" ht="54" customHeight="1">
      <x:c r="A7" s="13" t="str">
        <x:v>长文本与换行</x:v>
      </x:c>
      <x:c r="B7" s="13" t="str">
        <x:v>用途说明和技术风险字段包含较长中文文本。</x:v>
      </x:c>
      <x:c r="C7" s="13" t="str">
        <x:v>长字段不会被截断或与相邻记录错误拼接。</x:v>
      </x:c>
    </x:row>
    <x:row r="8" ht="54" customHeight="1">
      <x:c r="A8" s="13" t="str">
        <x:v>数字与日期</x:v>
      </x:c>
      <x:c r="B8" s="13" t="str">
        <x:v>按文件大小、三角面数、创建日期排序或过滤。</x:v>
      </x:c>
      <x:c r="C8" s="13" t="str">
        <x:v>数字和日期保留正确类型，不应全部转成字符串。</x:v>
      </x:c>
    </x:row>
    <x:row r="9" ht="54" customHeight="1">
      <x:c r="A9" s="13" t="str">
        <x:v>公式读取</x:v>
      </x:c>
      <x:c r="B9" s="13" t="str">
        <x:v>读取资产汇总中的COUNTIF、SUMIF结果。</x:v>
      </x:c>
      <x:c r="C9" s="13" t="str">
        <x:v>系统应明确选择读取公式、计算值或两者同时保留。</x:v>
      </x:c>
    </x:row>
    <x:row r="10" ht="54" customHeight="1">
      <x:c r="A10" s="13" t="str">
        <x:v>空值与特殊值</x:v>
      </x:c>
      <x:c r="B10" s="13" t="str">
        <x:v>动画、音频等资产三角面数为0，纹理分辨率可能为“—”。</x:v>
      </x:c>
      <x:c r="C10" s="13" t="str">
        <x:v>空值、0与占位符不应混淆。</x:v>
      </x:c>
    </x:row>
    <x:row r="11" ht="54" customHeight="1">
      <x:c r="A11" s="13" t="str">
        <x:v>增量更新</x:v>
      </x:c>
      <x:c r="B11" s="13" t="str">
        <x:v>复制文件后修改一条资产的状态、描述或版本。</x:v>
      </x:c>
      <x:c r="C11" s="13" t="str">
        <x:v>content_hash变化；无变化行不重新Embedding。</x:v>
      </x:c>
    </x:row>
    <x:row r="12" ht="54" customHeight="1">
      <x:c r="A12" s="13" t="str">
        <x:v>删除检测</x:v>
      </x:c>
      <x:c r="B12" s="13" t="str">
        <x:v>删除某一资产行并重新导入。</x:v>
      </x:c>
      <x:c r="C12" s="13" t="str">
        <x:v>旧Chunk可被识别并从ES/Milvus中删除。</x:v>
      </x:c>
    </x:row>
  </x:sheetData>
  <x:pageMargins left="0.7" right="0.7" top="0.75" bottom="0.75" header="0.3" footer="0.3"/>
</x:worksheet>
</file>