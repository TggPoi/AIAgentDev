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I_Agent_Project\AI_Python_Project\python-agent-study\docs\knowledge-base-acl-test\development\"/>
    </mc:Choice>
  </mc:AlternateContent>
  <xr:revisionPtr revIDLastSave="0" documentId="13_ncr:1_{34E60DA4-4CD8-4964-B7FC-2F243F0FFE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资产清单" sheetId="1" r:id="rId1"/>
    <sheet name="分类说明" sheetId="2" r:id="rId2"/>
    <sheet name="许可证与供应商" sheetId="3" r:id="rId3"/>
    <sheet name="资产汇总" sheetId="4" r:id="rId4"/>
    <sheet name="RAG测试说明" sheetId="5" r:id="rId5"/>
  </sheets>
  <calcPr calcId="191029"/>
</workbook>
</file>

<file path=xl/calcChain.xml><?xml version="1.0" encoding="utf-8"?>
<calcChain xmlns="http://schemas.openxmlformats.org/spreadsheetml/2006/main">
  <c r="F12" i="4" l="1"/>
  <c r="E12" i="4"/>
  <c r="F11" i="4"/>
  <c r="E11" i="4"/>
  <c r="F10" i="4"/>
  <c r="E10" i="4"/>
  <c r="F9" i="4"/>
  <c r="E9" i="4"/>
  <c r="F8" i="4"/>
  <c r="E8" i="4"/>
  <c r="F7" i="4"/>
  <c r="E7" i="4"/>
  <c r="B7" i="4"/>
  <c r="F6" i="4"/>
  <c r="E6" i="4"/>
  <c r="B6" i="4"/>
  <c r="F5" i="4"/>
  <c r="E5" i="4"/>
  <c r="B5" i="4"/>
  <c r="F4" i="4"/>
  <c r="E4" i="4"/>
  <c r="B4" i="4"/>
  <c r="F13" i="4" l="1"/>
  <c r="E13" i="4"/>
</calcChain>
</file>

<file path=xl/sharedStrings.xml><?xml version="1.0" encoding="utf-8"?>
<sst xmlns="http://schemas.openxmlformats.org/spreadsheetml/2006/main" count="1074" uniqueCount="538">
  <si>
    <t>资产ID</t>
  </si>
  <si>
    <t>资产名称（中文）</t>
  </si>
  <si>
    <t>Asset Name</t>
  </si>
  <si>
    <t>一级分类</t>
  </si>
  <si>
    <t>二级分类</t>
  </si>
  <si>
    <t>适用系统/场景</t>
  </si>
  <si>
    <t>UE5资源路径</t>
  </si>
  <si>
    <t>文件格式</t>
  </si>
  <si>
    <t>来源类型</t>
  </si>
  <si>
    <t>许可证</t>
  </si>
  <si>
    <t>负责人</t>
  </si>
  <si>
    <t>制作状态</t>
  </si>
  <si>
    <t>优先级</t>
  </si>
  <si>
    <t>版本</t>
  </si>
  <si>
    <t>文件大小(MB)</t>
  </si>
  <si>
    <t>三角面数</t>
  </si>
  <si>
    <t>纹理分辨率</t>
  </si>
  <si>
    <t>关键标签</t>
  </si>
  <si>
    <t>用途与设计说明</t>
  </si>
  <si>
    <t>技术备注/风险</t>
  </si>
  <si>
    <t>创建日期</t>
  </si>
  <si>
    <t>最后更新</t>
  </si>
  <si>
    <t>是否核心资产</t>
  </si>
  <si>
    <t>AST-0001</t>
  </si>
  <si>
    <t>主角近战战士</t>
  </si>
  <si>
    <t>Hero_Melee_Warrior</t>
  </si>
  <si>
    <t>角色</t>
  </si>
  <si>
    <t>可操控角色</t>
  </si>
  <si>
    <t>战斗系统/第三人称动作</t>
  </si>
  <si>
    <t>/Game/Characters/Heroes/CH_Hero_Melee</t>
  </si>
  <si>
    <t>FBX + uasset</t>
  </si>
  <si>
    <t>自研</t>
  </si>
  <si>
    <t>项目内部使用</t>
  </si>
  <si>
    <t>林溪</t>
  </si>
  <si>
    <t>制作中</t>
  </si>
  <si>
    <t>P2</t>
  </si>
  <si>
    <t>v2.0</t>
  </si>
  <si>
    <t>4K</t>
  </si>
  <si>
    <t>角色,骨骼,蒙皮,战斗</t>
  </si>
  <si>
    <t>主角近战战士用于战斗系统/第三人称动作。该资产需要与UE5战斗框架中的伤害、动画、音频和特效事件保持一致，通过Gameplay Tag区分状态，并在多人联机模式下避免仅在客户端修改权威战斗数据。</t>
  </si>
  <si>
    <t>检查骨骼命名、Retarget Pose与布料碰撞；LOD0面数较高时需提供至少4级LOD。</t>
  </si>
  <si>
    <t>否</t>
  </si>
  <si>
    <t>AST-0002</t>
  </si>
  <si>
    <t>重甲守卫</t>
  </si>
  <si>
    <t>Heavy_Armored_Guard</t>
  </si>
  <si>
    <t>普通敌人</t>
  </si>
  <si>
    <t>敌人AI/近战战斗</t>
  </si>
  <si>
    <t>/Game/Characters/Enemies/CH_Heavy_Guard</t>
  </si>
  <si>
    <t>外包定制</t>
  </si>
  <si>
    <t>买断授权</t>
  </si>
  <si>
    <t>赵凯</t>
  </si>
  <si>
    <t>待采购</t>
  </si>
  <si>
    <t>P1</t>
  </si>
  <si>
    <t>v3.1</t>
  </si>
  <si>
    <t>重甲守卫用于敌人AI/近战战斗。该资产需要与UE5战斗框架中的伤害、动画、音频和特效事件保持一致，通过Gameplay Tag区分状态，并在多人联机模式下避免仅在客户端修改权威战斗数据。</t>
  </si>
  <si>
    <t>是</t>
  </si>
  <si>
    <t>AST-0003</t>
  </si>
  <si>
    <t>远程弓箭手</t>
  </si>
  <si>
    <t>Ranged_Archer</t>
  </si>
  <si>
    <t>敌人AI/远程战斗</t>
  </si>
  <si>
    <t>/Game/Characters/Enemies/CH_Archer</t>
  </si>
  <si>
    <t>周航</t>
  </si>
  <si>
    <t>已完成</t>
  </si>
  <si>
    <t>P0</t>
  </si>
  <si>
    <t>v1.2</t>
  </si>
  <si>
    <t>远程弓箭手用于敌人AI/远程战斗。该资产需要与UE5战斗框架中的伤害、动画、音频和特效事件保持一致，通过Gameplay Tag区分状态，并在多人联机模式下避免仅在客户端修改权威战斗数据。</t>
  </si>
  <si>
    <t>AST-0004</t>
  </si>
  <si>
    <t>遗迹巨像Boss</t>
  </si>
  <si>
    <t>Ruins_Colossus_Boss</t>
  </si>
  <si>
    <t>Boss角色</t>
  </si>
  <si>
    <t>Boss战/破坏部位</t>
  </si>
  <si>
    <t>/Game/Characters/Bosses/CH_Ruins_Colossus</t>
  </si>
  <si>
    <t>陈晨</t>
  </si>
  <si>
    <t>待评审</t>
  </si>
  <si>
    <t>P3</t>
  </si>
  <si>
    <t>v2.3</t>
  </si>
  <si>
    <t>遗迹巨像Boss用于Boss战/破坏部位。该资产需要与UE5战斗框架中的伤害、动画、音频和特效事件保持一致，通过Gameplay Tag区分状态，并在多人联机模式下避免仅在客户端修改权威战斗数据。</t>
  </si>
  <si>
    <t>AST-0005</t>
  </si>
  <si>
    <t>村庄铁匠NPC</t>
  </si>
  <si>
    <t>Village_Blacksmith_NPC</t>
  </si>
  <si>
    <t>剧情NPC</t>
  </si>
  <si>
    <t>村庄交互/装备强化</t>
  </si>
  <si>
    <t>/Game/Characters/NPC/CH_Blacksmith</t>
  </si>
  <si>
    <t>商城购买</t>
  </si>
  <si>
    <t>商业许可</t>
  </si>
  <si>
    <t>王琳</t>
  </si>
  <si>
    <t>已阻塞</t>
  </si>
  <si>
    <t>v3.4</t>
  </si>
  <si>
    <t>村庄铁匠NPC用于村庄交互/装备强化。该资产需要与UE5战斗框架中的伤害、动画、音频和特效事件保持一致，通过Gameplay Tag区分状态，并在多人联机模式下避免仅在客户端修改权威战斗数据。</t>
  </si>
  <si>
    <t>AST-0006</t>
  </si>
  <si>
    <t>双手剑基础连招</t>
  </si>
  <si>
    <t>Greatsword_Basic_Combo</t>
  </si>
  <si>
    <t>动画</t>
  </si>
  <si>
    <t>攻击动画</t>
  </si>
  <si>
    <t>近战连招/蒙太奇</t>
  </si>
  <si>
    <t>/Game/Animations/Combat/Greatsword/AM_Combo_Basic</t>
  </si>
  <si>
    <t>动作捕捉</t>
  </si>
  <si>
    <t>v1.0</t>
  </si>
  <si>
    <t>—</t>
  </si>
  <si>
    <t>动画蒙太奇,Root Motion,连招,Notify</t>
  </si>
  <si>
    <t>双手剑基础连招用于近战连招/蒙太奇。该资产需要与UE5战斗框架中的伤害、动画、音频和特效事件保持一致，通过Gameplay Tag区分状态，并在多人联机模式下避免仅在客户端修改权威战斗数据。</t>
  </si>
  <si>
    <t>必须统一Root Motion策略；攻击判定窗口通过Anim Notify State配置，不允许硬编码帧号。</t>
  </si>
  <si>
    <t>AST-0007</t>
  </si>
  <si>
    <t>完美闪避动作</t>
  </si>
  <si>
    <t>Perfect_Dodge</t>
  </si>
  <si>
    <t>闪避动画</t>
  </si>
  <si>
    <t>闪避无敌帧/慢动作</t>
  </si>
  <si>
    <t>/Game/Animations/Combat/Dodge/AM_Perfect_Dodge</t>
  </si>
  <si>
    <t>v2.1</t>
  </si>
  <si>
    <t>完美闪避动作用于闪避无敌帧/慢动作。该资产需要与UE5战斗框架中的伤害、动画、音频和特效事件保持一致，通过Gameplay Tag区分状态，并在多人联机模式下避免仅在客户端修改权威战斗数据。</t>
  </si>
  <si>
    <t>AST-0008</t>
  </si>
  <si>
    <t>盾牌格挡受击</t>
  </si>
  <si>
    <t>Shield_Block_Hit</t>
  </si>
  <si>
    <t>防御动画</t>
  </si>
  <si>
    <t>格挡/削韧反馈</t>
  </si>
  <si>
    <t>/Game/Animations/Combat/Shield/AM_Block_Hit</t>
  </si>
  <si>
    <t>v3.2</t>
  </si>
  <si>
    <t>盾牌格挡受击用于格挡/削韧反馈。该资产需要与UE5战斗框架中的伤害、动画、音频和特效事件保持一致，通过Gameplay Tag区分状态，并在多人联机模式下避免仅在客户端修改权威战斗数据。</t>
  </si>
  <si>
    <t>AST-0009</t>
  </si>
  <si>
    <t>Boss阶段转换</t>
  </si>
  <si>
    <t>Boss_Phase_Transition</t>
  </si>
  <si>
    <t>演出动画</t>
  </si>
  <si>
    <t>Boss二阶段转换</t>
  </si>
  <si>
    <t>/Game/Animations/Boss/Colossus/AM_Phase_Transition</t>
  </si>
  <si>
    <t>v1.3</t>
  </si>
  <si>
    <t>Boss阶段转换用于Boss二阶段转换。该资产需要与UE5战斗框架中的伤害、动画、音频和特效事件保持一致，通过Gameplay Tag区分状态，并在多人联机模式下避免仅在客户端修改权威战斗数据。</t>
  </si>
  <si>
    <t>AST-0010</t>
  </si>
  <si>
    <t>处决终结技</t>
  </si>
  <si>
    <t>Execution_Finisher</t>
  </si>
  <si>
    <t>处决动画</t>
  </si>
  <si>
    <t>低生命敌人处决</t>
  </si>
  <si>
    <t>/Game/Animations/Combat/Execution/AM_Finisher_A</t>
  </si>
  <si>
    <t>v2.4</t>
  </si>
  <si>
    <t>处决终结技用于低生命敌人处决。该资产需要与UE5战斗框架中的伤害、动画、音频和特效事件保持一致，通过Gameplay Tag区分状态，并在多人联机模式下避免仅在客户端修改权威战斗数据。</t>
  </si>
  <si>
    <t>AST-0011</t>
  </si>
  <si>
    <t>遗迹大剑</t>
  </si>
  <si>
    <t>Ruins_Greatsword</t>
  </si>
  <si>
    <t>武器与装备</t>
  </si>
  <si>
    <t>近战武器</t>
  </si>
  <si>
    <t>重武器/蓄力攻击</t>
  </si>
  <si>
    <t>/Game/Items/Weapons/Greatsword/SM_Ruins_Greatsword</t>
  </si>
  <si>
    <t>v3.0</t>
  </si>
  <si>
    <t>2K</t>
  </si>
  <si>
    <t>装备,插槽,碰撞,物品系统</t>
  </si>
  <si>
    <t>遗迹大剑用于重武器/蓄力攻击。该资产需要与UE5战斗框架中的伤害、动画、音频和特效事件保持一致，通过Gameplay Tag区分状态，并在多人联机模式下避免仅在客户端修改权威战斗数据。</t>
  </si>
  <si>
    <t>确认武器Socket方向、碰撞通道与物理材质；需验证不同体型角色的穿插。</t>
  </si>
  <si>
    <t>AST-0012</t>
  </si>
  <si>
    <t>猎鹰长弓</t>
  </si>
  <si>
    <t>Falcon_Longbow</t>
  </si>
  <si>
    <t>远程武器</t>
  </si>
  <si>
    <t>蓄力射击/弱点打击</t>
  </si>
  <si>
    <t>/Game/Items/Weapons/Bow/SM_Falcon_Longbow</t>
  </si>
  <si>
    <t>v1.1</t>
  </si>
  <si>
    <t>猎鹰长弓用于蓄力射击/弱点打击。该资产需要与UE5战斗框架中的伤害、动画、音频和特效事件保持一致，通过Gameplay Tag区分状态，并在多人联机模式下避免仅在客户端修改权威战斗数据。</t>
  </si>
  <si>
    <t>AST-0013</t>
  </si>
  <si>
    <t>守护者塔盾</t>
  </si>
  <si>
    <t>Guardian_Tower_Shield</t>
  </si>
  <si>
    <t>盾牌</t>
  </si>
  <si>
    <t>格挡/盾反</t>
  </si>
  <si>
    <t>/Game/Items/Shields/SM_Tower_Shield</t>
  </si>
  <si>
    <t>v2.2</t>
  </si>
  <si>
    <t>守护者塔盾用于格挡/盾反。该资产需要与UE5战斗框架中的伤害、动画、音频和特效事件保持一致，通过Gameplay Tag区分状态，并在多人联机模式下避免仅在客户端修改权威战斗数据。</t>
  </si>
  <si>
    <t>AST-0014</t>
  </si>
  <si>
    <t>火焰附魔符文</t>
  </si>
  <si>
    <t>Flame_Enchant_Rune</t>
  </si>
  <si>
    <t>消耗品</t>
  </si>
  <si>
    <t>武器元素附魔</t>
  </si>
  <si>
    <t>/Game/Items/Consumables/MI_Flame_Rune</t>
  </si>
  <si>
    <t>v3.3</t>
  </si>
  <si>
    <t>火焰附魔符文用于武器元素附魔。该资产需要与UE5战斗框架中的伤害、动画、音频和特效事件保持一致，通过Gameplay Tag区分状态，并在多人联机模式下避免仅在客户端修改权威战斗数据。</t>
  </si>
  <si>
    <t>AST-0015</t>
  </si>
  <si>
    <t>重甲套装</t>
  </si>
  <si>
    <t>Heavy_Armor_Set</t>
  </si>
  <si>
    <t>防具套装</t>
  </si>
  <si>
    <t>高韧性流派</t>
  </si>
  <si>
    <t>/Game/Items/Armor/Heavy/DA_Heavy_Armor_Set</t>
  </si>
  <si>
    <t>v1.4</t>
  </si>
  <si>
    <t>重甲套装用于高韧性流派。该资产需要与UE5战斗框架中的伤害、动画、音频和特效事件保持一致，通过Gameplay Tag区分状态，并在多人联机模式下避免仅在客户端修改权威战斗数据。</t>
  </si>
  <si>
    <t>AST-0016</t>
  </si>
  <si>
    <t>古代遗迹模块套件</t>
  </si>
  <si>
    <t>Ancient_Ruins_Modular_Kit</t>
  </si>
  <si>
    <t>环境与场景</t>
  </si>
  <si>
    <t>模块化建筑</t>
  </si>
  <si>
    <t>遗迹关卡搭建</t>
  </si>
  <si>
    <t>/Game/Environment/Ruins/Modular</t>
  </si>
  <si>
    <t>关卡搭建,Nanite,Lumen,模块化</t>
  </si>
  <si>
    <t>古代遗迹模块套件用于遗迹关卡搭建。该资产需要与UE5战斗框架中的伤害、动画、音频和特效事件保持一致，通过Gameplay Tag区分状态，并在多人联机模式下避免仅在客户端修改权威战斗数据。</t>
  </si>
  <si>
    <t>检查Nanite兼容性、光照贴图与HLOD；大场景需支持World Partition流送。</t>
  </si>
  <si>
    <t>AST-0017</t>
  </si>
  <si>
    <t>针叶林植被包</t>
  </si>
  <si>
    <t>Conifer_Forest_Foliage</t>
  </si>
  <si>
    <t>植被</t>
  </si>
  <si>
    <t>开放区域/风力交互</t>
  </si>
  <si>
    <t>/Game/Environment/Foliage/Conifer</t>
  </si>
  <si>
    <t>针叶林植被包用于开放区域/风力交互。该资产需要与UE5战斗框架中的伤害、动画、音频和特效事件保持一致，通过Gameplay Tag区分状态，并在多人联机模式下避免仅在客户端修改权威战斗数据。</t>
  </si>
  <si>
    <t>AST-0018</t>
  </si>
  <si>
    <t>村庄木屋套件</t>
  </si>
  <si>
    <t>Village_House_Kit</t>
  </si>
  <si>
    <t>建筑</t>
  </si>
  <si>
    <t>村庄安全区</t>
  </si>
  <si>
    <t>/Game/Environment/Village/Houses</t>
  </si>
  <si>
    <t>村庄木屋套件用于村庄安全区。该资产需要与UE5战斗框架中的伤害、动画、音频和特效事件保持一致，通过Gameplay Tag区分状态，并在多人联机模式下避免仅在客户端修改权威战斗数据。</t>
  </si>
  <si>
    <t>AST-0019</t>
  </si>
  <si>
    <t>可破坏石柱</t>
  </si>
  <si>
    <t>Destructible_Stone_Pillar</t>
  </si>
  <si>
    <t>可破坏物</t>
  </si>
  <si>
    <t>Boss战环境破坏</t>
  </si>
  <si>
    <t>/Game/Environment/Destruction/SM_Stone_Pillar</t>
  </si>
  <si>
    <t>可破坏石柱用于Boss战环境破坏。该资产需要与UE5战斗框架中的伤害、动画、音频和特效事件保持一致，通过Gameplay Tag区分状态，并在多人联机模式下避免仅在客户端修改权威战斗数据。</t>
  </si>
  <si>
    <t>AST-0020</t>
  </si>
  <si>
    <t>地下洞穴岩石包</t>
  </si>
  <si>
    <t>Cave_Rock_Pack</t>
  </si>
  <si>
    <t>地形道具</t>
  </si>
  <si>
    <t>洞穴副本</t>
  </si>
  <si>
    <t>/Game/Environment/Cave/Rocks</t>
  </si>
  <si>
    <t>扫描资产</t>
  </si>
  <si>
    <t>地下洞穴岩石包用于洞穴副本。该资产需要与UE5战斗框架中的伤害、动画、音频和特效事件保持一致，通过Gameplay Tag区分状态，并在多人联机模式下避免仅在客户端修改权威战斗数据。</t>
  </si>
  <si>
    <t>AST-0021</t>
  </si>
  <si>
    <t>大剑挥砍轨迹</t>
  </si>
  <si>
    <t>Greatsword_Slash_Trail</t>
  </si>
  <si>
    <t>特效</t>
  </si>
  <si>
    <t>武器特效</t>
  </si>
  <si>
    <t>近战攻击判定反馈</t>
  </si>
  <si>
    <t>/Game/VFX/Combat/NS_Greatsword_Trail</t>
  </si>
  <si>
    <t>Niagara + uasset</t>
  </si>
  <si>
    <t>1K/2K</t>
  </si>
  <si>
    <t>Niagara,命中反馈,GPU粒子,战斗</t>
  </si>
  <si>
    <t>大剑挥砍轨迹用于近战攻击判定反馈。该资产需要与UE5战斗框架中的伤害、动画、音频和特效事件保持一致，通过Gameplay Tag区分状态，并在多人联机模式下避免仅在客户端修改权威战斗数据。</t>
  </si>
  <si>
    <t>限制GPU粒子数量和Overdraw；主机平台需要单独质量档位。</t>
  </si>
  <si>
    <t>AST-0022</t>
  </si>
  <si>
    <t>完美格挡火花</t>
  </si>
  <si>
    <t>Perfect_Block_Sparks</t>
  </si>
  <si>
    <t>命中特效</t>
  </si>
  <si>
    <t>盾反成功反馈</t>
  </si>
  <si>
    <t>/Game/VFX/Combat/NS_Perfect_Block</t>
  </si>
  <si>
    <t>完美格挡火花用于盾反成功反馈。该资产需要与UE5战斗框架中的伤害、动画、音频和特效事件保持一致，通过Gameplay Tag区分状态，并在多人联机模式下避免仅在客户端修改权威战斗数据。</t>
  </si>
  <si>
    <t>AST-0023</t>
  </si>
  <si>
    <t>火焰附魔效果</t>
  </si>
  <si>
    <t>Flame_Enchant_Effect</t>
  </si>
  <si>
    <t>持续特效</t>
  </si>
  <si>
    <t>武器附魔/灼烧</t>
  </si>
  <si>
    <t>/Game/VFX/Elements/Fire/NS_Weapon_Enchant</t>
  </si>
  <si>
    <t>火焰附魔效果用于武器附魔/灼烧。该资产需要与UE5战斗框架中的伤害、动画、音频和特效事件保持一致，通过Gameplay Tag区分状态，并在多人联机模式下避免仅在客户端修改权威战斗数据。</t>
  </si>
  <si>
    <t>AST-0024</t>
  </si>
  <si>
    <t>Boss核心爆炸</t>
  </si>
  <si>
    <t>Boss_Core_Explosion</t>
  </si>
  <si>
    <t>大型特效</t>
  </si>
  <si>
    <t>Boss死亡演出</t>
  </si>
  <si>
    <t>/Game/VFX/Boss/NS_Core_Explosion</t>
  </si>
  <si>
    <t>Boss核心爆炸用于Boss死亡演出。该资产需要与UE5战斗框架中的伤害、动画、音频和特效事件保持一致，通过Gameplay Tag区分状态，并在多人联机模式下避免仅在客户端修改权威战斗数据。</t>
  </si>
  <si>
    <t>AST-0025</t>
  </si>
  <si>
    <t>治疗区域法阵</t>
  </si>
  <si>
    <t>Healing_Area_Circle</t>
  </si>
  <si>
    <t>区域特效</t>
  </si>
  <si>
    <t>持续治疗技能</t>
  </si>
  <si>
    <t>/Game/VFX/Skills/NS_Healing_Area</t>
  </si>
  <si>
    <t>治疗区域法阵用于持续治疗技能。该资产需要与UE5战斗框架中的伤害、动画、音频和特效事件保持一致，通过Gameplay Tag区分状态，并在多人联机模式下避免仅在客户端修改权威战斗数据。</t>
  </si>
  <si>
    <t>AST-0026</t>
  </si>
  <si>
    <t>大剑挥砍音效组</t>
  </si>
  <si>
    <t>Greatsword_Swing_SFX_Set</t>
  </si>
  <si>
    <t>音频</t>
  </si>
  <si>
    <t>武器音效</t>
  </si>
  <si>
    <t>普通攻击/蓄力攻击</t>
  </si>
  <si>
    <t>/Game/Audio/SFX/Weapons/Greatsword</t>
  </si>
  <si>
    <t>WAV 48kHz/24bit</t>
  </si>
  <si>
    <t>音频素材库</t>
  </si>
  <si>
    <t>MetaSounds,SoundCue,空间音频,战斗</t>
  </si>
  <si>
    <t>大剑挥砍音效组用于普通攻击/蓄力攻击。该资产需要与UE5战斗框架中的伤害、动画、音频和特效事件保持一致，通过Gameplay Tag区分状态，并在多人联机模式下避免仅在客户端修改权威战斗数据。</t>
  </si>
  <si>
    <t>统一响度标准，避免叠加爆音；循环音乐需设置无缝Loop点。</t>
  </si>
  <si>
    <t>AST-0027</t>
  </si>
  <si>
    <t>金属格挡冲击</t>
  </si>
  <si>
    <t>Metal_Block_Impact</t>
  </si>
  <si>
    <t>命中音效</t>
  </si>
  <si>
    <t>盾牌格挡/完美盾反</t>
  </si>
  <si>
    <t>/Game/Audio/SFX/Combat/SC_Block_Impact</t>
  </si>
  <si>
    <t>金属格挡冲击用于盾牌格挡/完美盾反。该资产需要与UE5战斗框架中的伤害、动画、音频和特效事件保持一致，通过Gameplay Tag区分状态，并在多人联机模式下避免仅在客户端修改权威战斗数据。</t>
  </si>
  <si>
    <t>AST-0028</t>
  </si>
  <si>
    <t>Boss战第二阶段音乐</t>
  </si>
  <si>
    <t>Boss_Phase2_Music</t>
  </si>
  <si>
    <t>战斗音乐</t>
  </si>
  <si>
    <t>Boss二阶段循环</t>
  </si>
  <si>
    <t>/Game/Audio/Music/Boss/MUS_Colossus_Phase2</t>
  </si>
  <si>
    <t>Boss战第二阶段音乐用于Boss二阶段循环。该资产需要与UE5战斗框架中的伤害、动画、音频和特效事件保持一致，通过Gameplay Tag区分状态，并在多人联机模式下避免仅在客户端修改权威战斗数据。</t>
  </si>
  <si>
    <t>AST-0029</t>
  </si>
  <si>
    <t>森林环境氛围</t>
  </si>
  <si>
    <t>Forest_Ambience</t>
  </si>
  <si>
    <t>环境音</t>
  </si>
  <si>
    <t>针叶林昼夜环境</t>
  </si>
  <si>
    <t>/Game/Audio/Ambience/Forest</t>
  </si>
  <si>
    <t>森林环境氛围用于针叶林昼夜环境。该资产需要与UE5战斗框架中的伤害、动画、音频和特效事件保持一致，通过Gameplay Tag区分状态，并在多人联机模式下避免仅在客户端修改权威战斗数据。</t>
  </si>
  <si>
    <t>AST-0030</t>
  </si>
  <si>
    <t>角色受击语音包</t>
  </si>
  <si>
    <t>Hero_Hit_Voice_Set</t>
  </si>
  <si>
    <t>角色语音</t>
  </si>
  <si>
    <t>轻伤/重伤/濒死</t>
  </si>
  <si>
    <t>/Game/Audio/Voice/Hero/Hit</t>
  </si>
  <si>
    <t>配音录制</t>
  </si>
  <si>
    <t>角色受击语音包用于轻伤/重伤/濒死。该资产需要与UE5战斗框架中的伤害、动画、音频和特效事件保持一致，通过Gameplay Tag区分状态，并在多人联机模式下避免仅在客户端修改权威战斗数据。</t>
  </si>
  <si>
    <t>AST-0031</t>
  </si>
  <si>
    <t>战斗HUD主界面</t>
  </si>
  <si>
    <t>Combat_HUD</t>
  </si>
  <si>
    <t>UI</t>
  </si>
  <si>
    <t>HUD</t>
  </si>
  <si>
    <t>生命/精力/技能冷却</t>
  </si>
  <si>
    <t>/Game/UI/HUD/WBP_CombatHUD</t>
  </si>
  <si>
    <t>PNG + uasset</t>
  </si>
  <si>
    <t>UMG,MVVM,手柄导航,信息反馈</t>
  </si>
  <si>
    <t>战斗HUD主界面用于生命/精力/技能冷却。该资产需要与UE5战斗框架中的伤害、动画、音频和特效事件保持一致，通过Gameplay Tag区分状态，并在多人联机模式下避免仅在客户端修改权威战斗数据。</t>
  </si>
  <si>
    <t>需要支持1920×1080、2560×1440和超宽屏；文本必须可本地化。</t>
  </si>
  <si>
    <t>AST-0032</t>
  </si>
  <si>
    <t>Boss生命条</t>
  </si>
  <si>
    <t>Boss_Health_Bar</t>
  </si>
  <si>
    <t>HUD组件</t>
  </si>
  <si>
    <t>Boss名称/阶段/生命值</t>
  </si>
  <si>
    <t>/Game/UI/HUD/WBP_BossHealthBar</t>
  </si>
  <si>
    <t>Boss生命条用于Boss名称/阶段/生命值。该资产需要与UE5战斗框架中的伤害、动画、音频和特效事件保持一致，通过Gameplay Tag区分状态，并在多人联机模式下避免仅在客户端修改权威战斗数据。</t>
  </si>
  <si>
    <t>AST-0033</t>
  </si>
  <si>
    <t>装备详情面板</t>
  </si>
  <si>
    <t>Equipment_Detail_Panel</t>
  </si>
  <si>
    <t>菜单界面</t>
  </si>
  <si>
    <t>属性对比/词条显示</t>
  </si>
  <si>
    <t>/Game/UI/Inventory/WBP_EquipmentDetail</t>
  </si>
  <si>
    <t>装备详情面板用于属性对比/词条显示。该资产需要与UE5战斗框架中的伤害、动画、音频和特效事件保持一致，通过Gameplay Tag区分状态，并在多人联机模式下避免仅在客户端修改权威战斗数据。</t>
  </si>
  <si>
    <t>AST-0034</t>
  </si>
  <si>
    <t>状态异常图标集</t>
  </si>
  <si>
    <t>Status_Effect_Icon_Set</t>
  </si>
  <si>
    <t>图标</t>
  </si>
  <si>
    <t>中毒/燃烧/冰冻/眩晕</t>
  </si>
  <si>
    <t>/Game/UI/Icons/StatusEffects</t>
  </si>
  <si>
    <t>状态异常图标集用于中毒/燃烧/冰冻/眩晕。该资产需要与UE5战斗框架中的伤害、动画、音频和特效事件保持一致，通过Gameplay Tag区分状态，并在多人联机模式下避免仅在客户端修改权威战斗数据。</t>
  </si>
  <si>
    <t>AST-0035</t>
  </si>
  <si>
    <t>手柄按键提示集</t>
  </si>
  <si>
    <t>Gamepad_Prompt_Set</t>
  </si>
  <si>
    <t>输入提示</t>
  </si>
  <si>
    <t>Xbox/PlayStation手柄</t>
  </si>
  <si>
    <t>/Game/UI/Icons/Input/Gamepad</t>
  </si>
  <si>
    <t>手柄按键提示集用于Xbox/PlayStation手柄。该资产需要与UE5战斗框架中的伤害、动画、音频和特效事件保持一致，通过Gameplay Tag区分状态，并在多人联机模式下避免仅在客户端修改权威战斗数据。</t>
  </si>
  <si>
    <t>AST-0036</t>
  </si>
  <si>
    <t>角色皮肤主材质</t>
  </si>
  <si>
    <t>Character_Skin_Master</t>
  </si>
  <si>
    <t>材质与纹理</t>
  </si>
  <si>
    <t>主材质</t>
  </si>
  <si>
    <t>角色皮肤/伤痕参数</t>
  </si>
  <si>
    <t>/Game/Materials/Characters/M_Skin_Master</t>
  </si>
  <si>
    <t>PNG/TGA + uasset</t>
  </si>
  <si>
    <t>2K/4K</t>
  </si>
  <si>
    <t>PBR,材质实例,虚拟纹理,性能</t>
  </si>
  <si>
    <t>角色皮肤主材质用于角色皮肤/伤痕参数。该资产需要与UE5战斗框架中的伤害、动画、音频和特效事件保持一致，通过Gameplay Tag区分状态，并在多人联机模式下避免仅在客户端修改权威战斗数据。</t>
  </si>
  <si>
    <t>检查纹理压缩、Streaming Pool占用与Shader复杂度；移动端使用降级实例。</t>
  </si>
  <si>
    <t>AST-0037</t>
  </si>
  <si>
    <t>金属磨损主材质</t>
  </si>
  <si>
    <t>Metal_Wear_Master</t>
  </si>
  <si>
    <t>武器与盔甲磨损</t>
  </si>
  <si>
    <t>/Game/Materials/Props/M_Metal_Wear</t>
  </si>
  <si>
    <t>金属磨损主材质用于武器与盔甲磨损。该资产需要与UE5战斗框架中的伤害、动画、音频和特效事件保持一致，通过Gameplay Tag区分状态，并在多人联机模式下避免仅在客户端修改权威战斗数据。</t>
  </si>
  <si>
    <t>AST-0038</t>
  </si>
  <si>
    <t>遗迹石材纹理集</t>
  </si>
  <si>
    <t>Ruins_Stone_Texture_Set</t>
  </si>
  <si>
    <t>PBR纹理</t>
  </si>
  <si>
    <t>遗迹墙体/地面</t>
  </si>
  <si>
    <t>/Game/Textures/Environment/Ruins</t>
  </si>
  <si>
    <t>遗迹石材纹理集用于遗迹墙体/地面。该资产需要与UE5战斗框架中的伤害、动画、音频和特效事件保持一致，通过Gameplay Tag区分状态，并在多人联机模式下避免仅在客户端修改权威战斗数据。</t>
  </si>
  <si>
    <t>AST-0039</t>
  </si>
  <si>
    <t>积雪地表材质</t>
  </si>
  <si>
    <t>Snow_Surface_Material</t>
  </si>
  <si>
    <t>地表材质</t>
  </si>
  <si>
    <t>雪地脚印/动态混合</t>
  </si>
  <si>
    <t>/Game/Materials/Landscape/M_Snow_Surface</t>
  </si>
  <si>
    <t>积雪地表材质用于雪地脚印/动态混合。该资产需要与UE5战斗框架中的伤害、动画、音频和特效事件保持一致，通过Gameplay Tag区分状态，并在多人联机模式下避免仅在客户端修改权威战斗数据。</t>
  </si>
  <si>
    <t>AST-0040</t>
  </si>
  <si>
    <t>命中闪白材质函数</t>
  </si>
  <si>
    <t>Hit_Flash_Material_Function</t>
  </si>
  <si>
    <t>材质函数</t>
  </si>
  <si>
    <t>角色受击视觉反馈</t>
  </si>
  <si>
    <t>/Game/Materials/Functions/MF_HitFlash</t>
  </si>
  <si>
    <t>命中闪白材质函数用于角色受击视觉反馈。该资产需要与UE5战斗框架中的伤害、动画、音频和特效事件保持一致，通过Gameplay Tag区分状态，并在多人联机模式下避免仅在客户端修改权威战斗数据。</t>
  </si>
  <si>
    <t>AST-0041</t>
  </si>
  <si>
    <t>战斗属性数据表</t>
  </si>
  <si>
    <t>Combat_Attribute_DataTable</t>
  </si>
  <si>
    <t>蓝图与数据</t>
  </si>
  <si>
    <t>数据表</t>
  </si>
  <si>
    <t>生命/攻击/防御/韧性</t>
  </si>
  <si>
    <t>/Game/Data/Combat/DT_CombatAttributes</t>
  </si>
  <si>
    <t>uasset/CSV/JSON</t>
  </si>
  <si>
    <t>Blueprint,DataAsset,GameplayTag,配置驱动</t>
  </si>
  <si>
    <t>战斗属性数据表用于生命/攻击/防御/韧性。该资产需要与UE5战斗框架中的伤害、动画、音频和特效事件保持一致，通过Gameplay Tag区分状态，并在多人联机模式下避免仅在客户端修改权威战斗数据。</t>
  </si>
  <si>
    <t>核心逻辑需避免Tick；配置字段应有默认值、范围校验和版本迁移策略。</t>
  </si>
  <si>
    <t>AST-0042</t>
  </si>
  <si>
    <t>伤害计算蓝图组件</t>
  </si>
  <si>
    <t>Damage_Calculation_Component</t>
  </si>
  <si>
    <t>Actor组件</t>
  </si>
  <si>
    <t>基础伤害/暴击/减伤</t>
  </si>
  <si>
    <t>/Game/Blueprints/Combat/BPC_DamageCalculation</t>
  </si>
  <si>
    <t>伤害计算蓝图组件用于基础伤害/暴击/减伤。该资产需要与UE5战斗框架中的伤害、动画、音频和特效事件保持一致，通过Gameplay Tag区分状态，并在多人联机模式下避免仅在客户端修改权威战斗数据。</t>
  </si>
  <si>
    <t>AST-0043</t>
  </si>
  <si>
    <t>锁定目标组件</t>
  </si>
  <si>
    <t>Target_Lock_Component</t>
  </si>
  <si>
    <t>目标筛选/切换/丢失</t>
  </si>
  <si>
    <t>/Game/Blueprints/Combat/BPC_TargetLock</t>
  </si>
  <si>
    <t>锁定目标组件用于目标筛选/切换/丢失。该资产需要与UE5战斗框架中的伤害、动画、音频和特效事件保持一致，通过Gameplay Tag区分状态，并在多人联机模式下避免仅在客户端修改权威战斗数据。</t>
  </si>
  <si>
    <t>AST-0044</t>
  </si>
  <si>
    <t>敌人行为树模板</t>
  </si>
  <si>
    <t>Enemy_BehaviorTree_Template</t>
  </si>
  <si>
    <t>AI资产</t>
  </si>
  <si>
    <t>巡逻/追击/攻击/撤退</t>
  </si>
  <si>
    <t>/Game/AI/BehaviorTrees/BT_Enemy_Base</t>
  </si>
  <si>
    <t>敌人行为树模板用于巡逻/追击/攻击/撤退。该资产需要与UE5战斗框架中的伤害、动画、音频和特效事件保持一致，通过Gameplay Tag区分状态，并在多人联机模式下避免仅在客户端修改权威战斗数据。</t>
  </si>
  <si>
    <t>AST-0045</t>
  </si>
  <si>
    <t>技能配置数据资产</t>
  </si>
  <si>
    <t>Ability_Config_DataAsset</t>
  </si>
  <si>
    <t>数据资产</t>
  </si>
  <si>
    <t>技能冷却/消耗/蒙太奇</t>
  </si>
  <si>
    <t>/Game/Data/Abilities/DA_AbilityConfig</t>
  </si>
  <si>
    <t>技能配置数据资产用于技能冷却/消耗/蒙太奇。该资产需要与UE5战斗框架中的伤害、动画、音频和特效事件保持一致，通过Gameplay Tag区分状态，并在多人联机模式下避免仅在客户端修改权威战斗数据。</t>
  </si>
  <si>
    <t>游戏资产分类说明与接入规范</t>
  </si>
  <si>
    <t>章节</t>
  </si>
  <si>
    <t>目标</t>
  </si>
  <si>
    <t>接入要求</t>
  </si>
  <si>
    <t>典型检索问题</t>
  </si>
  <si>
    <t>1. 角色资产</t>
  </si>
  <si>
    <t>用于承载玩家、敌人和NPC的外观、骨骼、碰撞体及物理表现。</t>
  </si>
  <si>
    <t>统一使用项目标准Skeleton；角色根节点朝向X轴正方向；需要提供LOD、Physics Asset和可选布料配置。角色属性和技能配置不得直接硬编码在角色蓝图中。</t>
  </si>
  <si>
    <t>哪些角色资产需要提供LOD？遗迹巨像Boss使用什么资源路径？</t>
  </si>
  <si>
    <t>2. 动画资产</t>
  </si>
  <si>
    <t>支持普通攻击、连招、闪避、格挡、受击、处决与Boss阶段演出。</t>
  </si>
  <si>
    <t>攻击事件优先通过Anim Montage和Anim Notify State驱动。Root Motion策略必须在资产说明中明确，连招窗口应通过数据配置。</t>
  </si>
  <si>
    <t>完美闪避动画如何接入？攻击判定窗口应该放在哪里？</t>
  </si>
  <si>
    <t>3. 武器与装备</t>
  </si>
  <si>
    <t>为近战、远程、防御和角色成长系统提供可装备内容。</t>
  </si>
  <si>
    <t>武器模型必须提供握持Socket校验；攻击碰撞使用专用Trace Channel；装备数据使用Data Asset或Data Table管理。</t>
  </si>
  <si>
    <t>哪些装备属于高优先级？塔盾需要检查哪些技术问题？</t>
  </si>
  <si>
    <t>4. 环境与场景</t>
  </si>
  <si>
    <t>用于构建遗迹、森林、村庄和洞穴等战斗空间。</t>
  </si>
  <si>
    <t>大型静态网格优先评估Nanite；开放区域使用World Partition；需要明确碰撞复杂度、HLOD与光照方案。</t>
  </si>
  <si>
    <t>哪些环境资产需要World Partition？可破坏石柱用于什么场景？</t>
  </si>
  <si>
    <t>5. 特效与音频</t>
  </si>
  <si>
    <t>为攻击、命中、状态异常、技能和Boss演出提供即时反馈。</t>
  </si>
  <si>
    <t>Niagara效果必须区分质量档位；音频需统一响度并支持空间衰减。战斗事件由Gameplay Cue或统一事件总线触发。</t>
  </si>
  <si>
    <t>Boss核心爆炸有哪些性能风险？完美格挡包含哪些反馈资产？</t>
  </si>
  <si>
    <t>6. UI与数据资产</t>
  </si>
  <si>
    <t>负责战斗信息呈现、输入提示，以及属性、技能和AI配置。</t>
  </si>
  <si>
    <t>UI需要支持本地化、手柄导航和多分辨率；核心数值配置需提供字段校验、默认值和版本迁移。</t>
  </si>
  <si>
    <t>战斗HUD展示哪些信息？技能配置数据资产包含什么内容？</t>
  </si>
  <si>
    <t>7. RAG测试建议</t>
  </si>
  <si>
    <t>验证Excel的Record与Section两种Chunk模式是否能够同时工作。</t>
  </si>
  <si>
    <t>资产清单按行生成Chunk，稳定身份使用资产ID；分类说明按章节生成Chunk，章节标题作为稳定Section Key。修改某一行时不应导致其他资产重新Embedding。</t>
  </si>
  <si>
    <t>如何设计Excel稳定行身份？资产清单适合哪种Chunk模式？</t>
  </si>
  <si>
    <t>示例供应商/团队</t>
  </si>
  <si>
    <t>允许用途</t>
  </si>
  <si>
    <t>禁止事项</t>
  </si>
  <si>
    <t>归档凭证</t>
  </si>
  <si>
    <t>复核周期（月）</t>
  </si>
  <si>
    <t>内部美术与程序团队</t>
  </si>
  <si>
    <t>项目内使用、修改、发布</t>
  </si>
  <si>
    <t>未经批准对外分发源文件</t>
  </si>
  <si>
    <t>Git/LFS提交与任务单</t>
  </si>
  <si>
    <t>外包角色与动画工作室</t>
  </si>
  <si>
    <t>按合同约定用于本项目</t>
  </si>
  <si>
    <t>跨项目复用、转售</t>
  </si>
  <si>
    <t>合同、验收单、发票</t>
  </si>
  <si>
    <t>Fab Marketplace / 资产商城</t>
  </si>
  <si>
    <t>按商业许可集成到成品</t>
  </si>
  <si>
    <t>直接转售原始资产包</t>
  </si>
  <si>
    <t>订单、许可证快照</t>
  </si>
  <si>
    <t>扫描素材供应商</t>
  </si>
  <si>
    <t>用于环境和材质制作</t>
  </si>
  <si>
    <t>超出席位或项目范围使用</t>
  </si>
  <si>
    <t>订阅记录、资产来源URL</t>
  </si>
  <si>
    <t>商业音效与音乐素材库</t>
  </si>
  <si>
    <t>用于成品游戏及宣传片</t>
  </si>
  <si>
    <t>单独分发音频源文件</t>
  </si>
  <si>
    <t>许可证PDF、下载记录</t>
  </si>
  <si>
    <t>内部动捕棚/动捕服务商</t>
  </si>
  <si>
    <t>清理后用于角色动画</t>
  </si>
  <si>
    <t>未经授权使用演员肖像或原始表演数据</t>
  </si>
  <si>
    <t>演员授权书、交付清单</t>
  </si>
  <si>
    <t>配音演员与录音棚</t>
  </si>
  <si>
    <t>按角色和语言版本使用</t>
  </si>
  <si>
    <t>超出合同媒介或期限使用</t>
  </si>
  <si>
    <t>授权协议、台词表</t>
  </si>
  <si>
    <t>游戏开发资产库概览</t>
  </si>
  <si>
    <t>指标</t>
  </si>
  <si>
    <t>数值</t>
  </si>
  <si>
    <t>资产数量</t>
  </si>
  <si>
    <t>总大小(MB)</t>
  </si>
  <si>
    <t>资产总数</t>
  </si>
  <si>
    <t>已完成资产</t>
  </si>
  <si>
    <t>阻塞资产</t>
  </si>
  <si>
    <t>核心资产</t>
  </si>
  <si>
    <t>合计</t>
  </si>
  <si>
    <t>测试项</t>
  </si>
  <si>
    <t>建议验证内容</t>
  </si>
  <si>
    <t>预期结果</t>
  </si>
  <si>
    <t>基础文本提取</t>
  </si>
  <si>
    <t>检索“完美格挡”“World Partition”“Root Motion”等关键词。</t>
  </si>
  <si>
    <t>能够命中对应资产行或分类章节。</t>
  </si>
  <si>
    <t>Record模式</t>
  </si>
  <si>
    <t>资产清单每一行作为独立记录，使用资产ID作为稳定行身份。</t>
  </si>
  <si>
    <t>修改AST-0007时，只更新该资产对应Chunk。</t>
  </si>
  <si>
    <t>Section模式</t>
  </si>
  <si>
    <t>分类说明按照“1.角色资产”等章节标题分块。</t>
  </si>
  <si>
    <t>章节顺序变化时，稳定Section Key仍能保持Chunk身份。</t>
  </si>
  <si>
    <t>字段过滤</t>
  </si>
  <si>
    <t>按一级分类、制作状态、优先级、负责人、许可证过滤。</t>
  </si>
  <si>
    <t>结构化metadata可用于检索前过滤。</t>
  </si>
  <si>
    <t>中英文混合</t>
  </si>
  <si>
    <t>检索“Greatsword”“Niagara”“战斗HUD”。</t>
  </si>
  <si>
    <t>中英文关键词均能召回相关记录。</t>
  </si>
  <si>
    <t>长文本与换行</t>
  </si>
  <si>
    <t>用途说明和技术风险字段包含较长中文文本。</t>
  </si>
  <si>
    <t>长字段不会被截断或与相邻记录错误拼接。</t>
  </si>
  <si>
    <t>数字与日期</t>
  </si>
  <si>
    <t>按文件大小、三角面数、创建日期排序或过滤。</t>
  </si>
  <si>
    <t>数字和日期保留正确类型，不应全部转成字符串。</t>
  </si>
  <si>
    <t>公式读取</t>
  </si>
  <si>
    <t>读取资产汇总中的COUNTIF、SUMIF结果。</t>
  </si>
  <si>
    <t>系统应明确选择读取公式、计算值或两者同时保留。</t>
  </si>
  <si>
    <t>空值与特殊值</t>
  </si>
  <si>
    <t>动画、音频等资产三角面数为0，纹理分辨率可能为“—”。</t>
  </si>
  <si>
    <t>空值、0与占位符不应混淆。</t>
  </si>
  <si>
    <t>增量更新</t>
  </si>
  <si>
    <t>复制文件后修改一条资产的状态、描述或版本。</t>
  </si>
  <si>
    <t>content_hash变化；无变化行不重新Embedding。</t>
  </si>
  <si>
    <t>删除检测</t>
  </si>
  <si>
    <t>删除某一资产行并重新导入。</t>
  </si>
  <si>
    <t>旧Chunk可被识别并从ES/Milvus中删除。</t>
  </si>
  <si>
    <t>审核人</t>
    <phoneticPr fontId="5" type="noConversion"/>
  </si>
  <si>
    <t>技术美术复核组</t>
  </si>
  <si>
    <t>AST-ACCEPT-20260715</t>
  </si>
  <si>
    <t>增量验收训练木偶</t>
  </si>
  <si>
    <t>Acceptance_Training_Dummy</t>
  </si>
  <si>
    <t>测试角色</t>
  </si>
  <si>
    <t>战斗系统/训练场</t>
  </si>
  <si>
    <t>/Game/Acceptance/CH_Training_Dummy</t>
  </si>
  <si>
    <t>验收负责人</t>
  </si>
  <si>
    <t>增量验收,训练木偶,PPT_INSERT_MARKER_20260715</t>
  </si>
  <si>
    <t>EXCEL_INSERT_MARKER_20260715：用于验证中间插行与插列后的 Section 更新和检索。</t>
  </si>
  <si>
    <t>仅用于验收；检查碰撞体和骨骼命名。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</si>
</sst>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7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  <fill>
      <patternFill patternType="solid">
        <fgColor rgb="FF5B9BD5"/>
      </patternFill>
    </fill>
    <fill>
      <patternFill patternType="solid">
        <fgColor rgb="FF548235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0" fontId="1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horizontal="center" wrapText="1"/>
    </xf>
    <xf numFmtId="0" fontId="1" fillId="7" borderId="0" xfId="1" applyFont="1" applyFill="1" applyAlignment="1">
      <alignment horizontal="center"/>
    </xf>
    <xf numFmtId="176" fontId="0" fillId="0" borderId="0" xfId="1" applyNumberFormat="1" applyFont="1"/>
    <xf numFmtId="0" fontId="1" fillId="8" borderId="0" xfId="1" applyFont="1" applyFill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0" fillId="0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B45F06"/>
      </font>
      <fill>
        <patternFill patternType="solid">
          <bgColor rgb="FFFCE5CD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各分类资产数量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资产数量</c:v>
          </c:tx>
          <c:invertIfNegative val="1"/>
          <c:cat>
            <c:strRef>
              <c:f>资产汇总!$D$4:$D$12</c:f>
              <c:strCache>
                <c:ptCount val="9"/>
                <c:pt idx="0">
                  <c:v>角色</c:v>
                </c:pt>
                <c:pt idx="1">
                  <c:v>动画</c:v>
                </c:pt>
                <c:pt idx="2">
                  <c:v>武器与装备</c:v>
                </c:pt>
                <c:pt idx="3">
                  <c:v>环境与场景</c:v>
                </c:pt>
                <c:pt idx="4">
                  <c:v>特效</c:v>
                </c:pt>
                <c:pt idx="5">
                  <c:v>音频</c:v>
                </c:pt>
                <c:pt idx="6">
                  <c:v>UI</c:v>
                </c:pt>
                <c:pt idx="7">
                  <c:v>材质与纹理</c:v>
                </c:pt>
                <c:pt idx="8">
                  <c:v>蓝图与数据</c:v>
                </c:pt>
              </c:strCache>
            </c:strRef>
          </c:cat>
          <c:val>
            <c:numRef>
              <c:f>资产汇总!$E$4:$E$12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1-45F1-8C65-76E71D85D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InventoryTable" displayName="AssetInventoryTable" ref="A1:X47">
  <tableColumns count="24">
    <tableColumn id="1" xr3:uid="{00000000-0010-0000-0000-000001000000}" name="资产ID"/>
    <tableColumn id="2" xr3:uid="{00000000-0010-0000-0000-000002000000}" name="资产名称（中文）"/>
    <tableColumn id="3" xr3:uid="{00000000-0010-0000-0000-000003000000}" name="Asset Name"/>
    <tableColumn id="4" xr3:uid="{00000000-0010-0000-0000-000004000000}" name="一级分类"/>
    <tableColumn id="5" xr3:uid="{00000000-0010-0000-0000-000005000000}" name="二级分类"/>
    <tableColumn id="6" xr3:uid="{00000000-0010-0000-0000-000006000000}" name="适用系统/场景"/>
    <tableColumn id="7" xr3:uid="{00000000-0010-0000-0000-000007000000}" name="UE5资源路径"/>
    <tableColumn id="8" xr3:uid="{00000000-0010-0000-0000-000008000000}" name="文件格式"/>
    <tableColumn id="9" xr3:uid="{00000000-0010-0000-0000-000009000000}" name="来源类型"/>
    <tableColumn id="10" xr3:uid="{00000000-0010-0000-0000-00000A000000}" name="许可证"/>
    <tableColumn id="11" xr3:uid="{00000000-0010-0000-0000-00000B000000}" name="负责人"/>
    <tableColumn id="24" xr3:uid="{F1C0E3D8-DF15-4CD5-86A5-29F9498B0200}" name="审核人" dataDxfId="3" dataCellStyle="Normal"/>
    <tableColumn id="12" xr3:uid="{00000000-0010-0000-0000-00000C000000}" name="制作状态"/>
    <tableColumn id="13" xr3:uid="{00000000-0010-0000-0000-00000D000000}" name="优先级"/>
    <tableColumn id="14" xr3:uid="{00000000-0010-0000-0000-00000E000000}" name="版本"/>
    <tableColumn id="15" xr3:uid="{00000000-0010-0000-0000-00000F000000}" name="文件大小(MB)"/>
    <tableColumn id="16" xr3:uid="{00000000-0010-0000-0000-000010000000}" name="三角面数"/>
    <tableColumn id="17" xr3:uid="{00000000-0010-0000-0000-000011000000}" name="纹理分辨率"/>
    <tableColumn id="18" xr3:uid="{00000000-0010-0000-0000-000012000000}" name="关键标签"/>
    <tableColumn id="19" xr3:uid="{00000000-0010-0000-0000-000013000000}" name="用途与设计说明"/>
    <tableColumn id="20" xr3:uid="{00000000-0010-0000-0000-000014000000}" name="技术备注/风险"/>
    <tableColumn id="21" xr3:uid="{00000000-0010-0000-0000-000015000000}" name="创建日期"/>
    <tableColumn id="22" xr3:uid="{00000000-0010-0000-0000-000016000000}" name="最后更新"/>
    <tableColumn id="23" xr3:uid="{00000000-0010-0000-0000-000017000000}" name="是否核心资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censeTable" displayName="LicenseTable" ref="A1:F8">
  <tableColumns count="6">
    <tableColumn id="1" xr3:uid="{00000000-0010-0000-0100-000001000000}" name="来源类型"/>
    <tableColumn id="2" xr3:uid="{00000000-0010-0000-0100-000002000000}" name="示例供应商/团队"/>
    <tableColumn id="3" xr3:uid="{00000000-0010-0000-0100-000003000000}" name="允许用途"/>
    <tableColumn id="4" xr3:uid="{00000000-0010-0000-0100-000004000000}" name="禁止事项"/>
    <tableColumn id="5" xr3:uid="{00000000-0010-0000-0100-000005000000}" name="归档凭证"/>
    <tableColumn id="6" xr3:uid="{00000000-0010-0000-0100-000006000000}" name="复核周期（月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tabSelected="1" workbookViewId="0"/>
  </sheetViews>
  <sheetFormatPr defaultRowHeight="14.25"/>
  <cols>
    <col min="1" max="1" width="12" customWidth="1"/>
    <col min="2" max="2" width="19" customWidth="1"/>
    <col min="3" max="3" width="24" customWidth="1"/>
    <col min="4" max="4" width="12" customWidth="1"/>
    <col min="5" max="5" width="15" customWidth="1"/>
    <col min="6" max="6" width="22" customWidth="1"/>
    <col min="7" max="7" width="34" customWidth="1"/>
    <col min="8" max="8" width="18" customWidth="1"/>
    <col min="9" max="9" width="12" customWidth="1"/>
    <col min="10" max="10" width="14" customWidth="1"/>
    <col min="11" max="12" width="10" customWidth="1"/>
    <col min="13" max="13" width="11" customWidth="1"/>
    <col min="14" max="15" width="9" customWidth="1"/>
    <col min="16" max="16" width="13" customWidth="1"/>
    <col min="17" max="17" width="12" customWidth="1"/>
    <col min="18" max="18" width="13" customWidth="1"/>
    <col min="19" max="19" width="28" customWidth="1"/>
    <col min="20" max="20" width="40" customWidth="1"/>
    <col min="21" max="21" width="38" customWidth="1"/>
    <col min="22" max="24" width="13" customWidth="1"/>
  </cols>
  <sheetData>
    <row r="1" spans="1:24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526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71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527</v>
      </c>
      <c r="M2" s="2" t="s">
        <v>34</v>
      </c>
      <c r="N2" s="2" t="s">
        <v>35</v>
      </c>
      <c r="O2" s="2" t="s">
        <v>36</v>
      </c>
      <c r="P2" s="3">
        <v>136.1</v>
      </c>
      <c r="Q2" s="4">
        <v>65450</v>
      </c>
      <c r="R2" s="2" t="s">
        <v>37</v>
      </c>
      <c r="S2" s="2" t="s">
        <v>38</v>
      </c>
      <c r="T2" s="2" t="s">
        <v>39</v>
      </c>
      <c r="U2" s="2" t="s">
        <v>40</v>
      </c>
      <c r="V2" s="5">
        <v>46032</v>
      </c>
      <c r="W2" s="5">
        <v>46036</v>
      </c>
      <c r="X2" s="2" t="s">
        <v>41</v>
      </c>
    </row>
    <row r="3" spans="1:24" ht="71.25">
      <c r="A3" s="2" t="s">
        <v>42</v>
      </c>
      <c r="B3" s="2" t="s">
        <v>43</v>
      </c>
      <c r="C3" s="2" t="s">
        <v>44</v>
      </c>
      <c r="D3" s="2" t="s">
        <v>26</v>
      </c>
      <c r="E3" s="2" t="s">
        <v>45</v>
      </c>
      <c r="F3" s="2" t="s">
        <v>46</v>
      </c>
      <c r="G3" s="2" t="s">
        <v>47</v>
      </c>
      <c r="H3" s="2" t="s">
        <v>30</v>
      </c>
      <c r="I3" s="2" t="s">
        <v>48</v>
      </c>
      <c r="J3" s="2" t="s">
        <v>49</v>
      </c>
      <c r="K3" s="2" t="s">
        <v>50</v>
      </c>
      <c r="L3" s="2" t="s">
        <v>527</v>
      </c>
      <c r="M3" s="2" t="s">
        <v>51</v>
      </c>
      <c r="N3" s="2" t="s">
        <v>52</v>
      </c>
      <c r="O3" s="2" t="s">
        <v>53</v>
      </c>
      <c r="P3" s="3">
        <v>151.19999999999999</v>
      </c>
      <c r="Q3" s="4">
        <v>75650</v>
      </c>
      <c r="R3" s="2" t="s">
        <v>37</v>
      </c>
      <c r="S3" s="2" t="s">
        <v>38</v>
      </c>
      <c r="T3" s="2" t="s">
        <v>54</v>
      </c>
      <c r="U3" s="2" t="s">
        <v>40</v>
      </c>
      <c r="V3" s="5">
        <v>46034</v>
      </c>
      <c r="W3" s="5">
        <v>46039</v>
      </c>
      <c r="X3" s="2" t="s">
        <v>55</v>
      </c>
    </row>
    <row r="4" spans="1:24" ht="71.25">
      <c r="A4" s="2" t="s">
        <v>56</v>
      </c>
      <c r="B4" s="2" t="s">
        <v>57</v>
      </c>
      <c r="C4" s="2" t="s">
        <v>58</v>
      </c>
      <c r="D4" s="2" t="s">
        <v>26</v>
      </c>
      <c r="E4" s="2" t="s">
        <v>45</v>
      </c>
      <c r="F4" s="2" t="s">
        <v>59</v>
      </c>
      <c r="G4" s="2" t="s">
        <v>60</v>
      </c>
      <c r="H4" s="2" t="s">
        <v>30</v>
      </c>
      <c r="I4" s="2" t="s">
        <v>31</v>
      </c>
      <c r="J4" s="2" t="s">
        <v>32</v>
      </c>
      <c r="K4" s="2" t="s">
        <v>61</v>
      </c>
      <c r="L4" s="2" t="s">
        <v>527</v>
      </c>
      <c r="M4" s="2" t="s">
        <v>62</v>
      </c>
      <c r="N4" s="2" t="s">
        <v>63</v>
      </c>
      <c r="O4" s="2" t="s">
        <v>64</v>
      </c>
      <c r="P4" s="3">
        <v>166.3</v>
      </c>
      <c r="Q4" s="4">
        <v>85850</v>
      </c>
      <c r="R4" s="2" t="s">
        <v>37</v>
      </c>
      <c r="S4" s="2" t="s">
        <v>38</v>
      </c>
      <c r="T4" s="2" t="s">
        <v>65</v>
      </c>
      <c r="U4" s="2" t="s">
        <v>40</v>
      </c>
      <c r="V4" s="5">
        <v>46036</v>
      </c>
      <c r="W4" s="5">
        <v>46042</v>
      </c>
      <c r="X4" s="2" t="s">
        <v>55</v>
      </c>
    </row>
    <row r="5" spans="1:24" ht="71.25">
      <c r="A5" s="2" t="s">
        <v>66</v>
      </c>
      <c r="B5" s="2" t="s">
        <v>67</v>
      </c>
      <c r="C5" s="2" t="s">
        <v>68</v>
      </c>
      <c r="D5" s="2" t="s">
        <v>26</v>
      </c>
      <c r="E5" s="2" t="s">
        <v>69</v>
      </c>
      <c r="F5" s="2" t="s">
        <v>70</v>
      </c>
      <c r="G5" s="2" t="s">
        <v>71</v>
      </c>
      <c r="H5" s="2" t="s">
        <v>30</v>
      </c>
      <c r="I5" s="2" t="s">
        <v>48</v>
      </c>
      <c r="J5" s="2" t="s">
        <v>49</v>
      </c>
      <c r="K5" s="2" t="s">
        <v>72</v>
      </c>
      <c r="L5" s="2" t="s">
        <v>527</v>
      </c>
      <c r="M5" s="2" t="s">
        <v>73</v>
      </c>
      <c r="N5" s="2" t="s">
        <v>74</v>
      </c>
      <c r="O5" s="2" t="s">
        <v>75</v>
      </c>
      <c r="P5" s="3">
        <v>181.4</v>
      </c>
      <c r="Q5" s="4">
        <v>96049</v>
      </c>
      <c r="R5" s="2" t="s">
        <v>37</v>
      </c>
      <c r="S5" s="2" t="s">
        <v>38</v>
      </c>
      <c r="T5" s="2" t="s">
        <v>76</v>
      </c>
      <c r="U5" s="2" t="s">
        <v>40</v>
      </c>
      <c r="V5" s="5">
        <v>46038</v>
      </c>
      <c r="W5" s="5">
        <v>46045</v>
      </c>
      <c r="X5" s="2" t="s">
        <v>41</v>
      </c>
    </row>
    <row r="6" spans="1:24" ht="71.25">
      <c r="A6" s="2" t="s">
        <v>77</v>
      </c>
      <c r="B6" s="2" t="s">
        <v>78</v>
      </c>
      <c r="C6" s="2" t="s">
        <v>79</v>
      </c>
      <c r="D6" s="2" t="s">
        <v>26</v>
      </c>
      <c r="E6" s="2" t="s">
        <v>80</v>
      </c>
      <c r="F6" s="2" t="s">
        <v>81</v>
      </c>
      <c r="G6" s="2" t="s">
        <v>82</v>
      </c>
      <c r="H6" s="2" t="s">
        <v>30</v>
      </c>
      <c r="I6" s="2" t="s">
        <v>83</v>
      </c>
      <c r="J6" s="2" t="s">
        <v>84</v>
      </c>
      <c r="K6" s="2" t="s">
        <v>85</v>
      </c>
      <c r="L6" s="2" t="s">
        <v>527</v>
      </c>
      <c r="M6" s="2" t="s">
        <v>86</v>
      </c>
      <c r="N6" s="2" t="s">
        <v>35</v>
      </c>
      <c r="O6" s="2" t="s">
        <v>87</v>
      </c>
      <c r="P6" s="3">
        <v>196.6</v>
      </c>
      <c r="Q6" s="4">
        <v>55250</v>
      </c>
      <c r="R6" s="2" t="s">
        <v>37</v>
      </c>
      <c r="S6" s="2" t="s">
        <v>38</v>
      </c>
      <c r="T6" s="2" t="s">
        <v>88</v>
      </c>
      <c r="U6" s="2" t="s">
        <v>40</v>
      </c>
      <c r="V6" s="5">
        <v>46040</v>
      </c>
      <c r="W6" s="5">
        <v>46048</v>
      </c>
      <c r="X6" s="2" t="s">
        <v>41</v>
      </c>
    </row>
    <row r="7" spans="1:24" ht="71.25">
      <c r="A7" s="2" t="s">
        <v>89</v>
      </c>
      <c r="B7" s="2" t="s">
        <v>90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95</v>
      </c>
      <c r="H7" s="2" t="s">
        <v>30</v>
      </c>
      <c r="I7" s="2" t="s">
        <v>96</v>
      </c>
      <c r="J7" s="2" t="s">
        <v>32</v>
      </c>
      <c r="K7" s="2" t="s">
        <v>33</v>
      </c>
      <c r="L7" s="2" t="s">
        <v>527</v>
      </c>
      <c r="M7" s="2" t="s">
        <v>34</v>
      </c>
      <c r="N7" s="2" t="s">
        <v>63</v>
      </c>
      <c r="O7" s="2" t="s">
        <v>97</v>
      </c>
      <c r="P7" s="3">
        <v>28.4</v>
      </c>
      <c r="Q7" s="4">
        <v>0</v>
      </c>
      <c r="R7" s="2" t="s">
        <v>98</v>
      </c>
      <c r="S7" s="2" t="s">
        <v>99</v>
      </c>
      <c r="T7" s="2" t="s">
        <v>100</v>
      </c>
      <c r="U7" s="2" t="s">
        <v>101</v>
      </c>
      <c r="V7" s="5">
        <v>46042</v>
      </c>
      <c r="W7" s="5">
        <v>46051</v>
      </c>
      <c r="X7" s="2" t="s">
        <v>55</v>
      </c>
    </row>
    <row r="8" spans="1:24" ht="71.25">
      <c r="A8" s="2" t="s">
        <v>102</v>
      </c>
      <c r="B8" s="2" t="s">
        <v>103</v>
      </c>
      <c r="C8" s="2" t="s">
        <v>104</v>
      </c>
      <c r="D8" s="2" t="s">
        <v>92</v>
      </c>
      <c r="E8" s="2" t="s">
        <v>105</v>
      </c>
      <c r="F8" s="2" t="s">
        <v>106</v>
      </c>
      <c r="G8" s="2" t="s">
        <v>107</v>
      </c>
      <c r="H8" s="2" t="s">
        <v>30</v>
      </c>
      <c r="I8" s="2" t="s">
        <v>31</v>
      </c>
      <c r="J8" s="2" t="s">
        <v>32</v>
      </c>
      <c r="K8" s="2" t="s">
        <v>50</v>
      </c>
      <c r="L8" s="2" t="s">
        <v>527</v>
      </c>
      <c r="M8" s="2" t="s">
        <v>51</v>
      </c>
      <c r="N8" s="2" t="s">
        <v>74</v>
      </c>
      <c r="O8" s="2" t="s">
        <v>108</v>
      </c>
      <c r="P8" s="3">
        <v>16.2</v>
      </c>
      <c r="Q8" s="4">
        <v>0</v>
      </c>
      <c r="R8" s="2" t="s">
        <v>98</v>
      </c>
      <c r="S8" s="2" t="s">
        <v>99</v>
      </c>
      <c r="T8" s="2" t="s">
        <v>109</v>
      </c>
      <c r="U8" s="2" t="s">
        <v>101</v>
      </c>
      <c r="V8" s="5">
        <v>46044</v>
      </c>
      <c r="W8" s="5">
        <v>46054</v>
      </c>
      <c r="X8" s="2" t="s">
        <v>41</v>
      </c>
    </row>
    <row r="9" spans="1:24" ht="71.25">
      <c r="A9" s="2" t="s">
        <v>110</v>
      </c>
      <c r="B9" s="2" t="s">
        <v>111</v>
      </c>
      <c r="C9" s="2" t="s">
        <v>112</v>
      </c>
      <c r="D9" s="2" t="s">
        <v>92</v>
      </c>
      <c r="E9" s="2" t="s">
        <v>113</v>
      </c>
      <c r="F9" s="2" t="s">
        <v>114</v>
      </c>
      <c r="G9" s="2" t="s">
        <v>115</v>
      </c>
      <c r="H9" s="2" t="s">
        <v>30</v>
      </c>
      <c r="I9" s="2" t="s">
        <v>96</v>
      </c>
      <c r="J9" s="2" t="s">
        <v>32</v>
      </c>
      <c r="K9" s="2" t="s">
        <v>61</v>
      </c>
      <c r="L9" s="2" t="s">
        <v>527</v>
      </c>
      <c r="M9" s="2" t="s">
        <v>62</v>
      </c>
      <c r="N9" s="2" t="s">
        <v>35</v>
      </c>
      <c r="O9" s="2" t="s">
        <v>116</v>
      </c>
      <c r="P9" s="3">
        <v>18.2</v>
      </c>
      <c r="Q9" s="4">
        <v>0</v>
      </c>
      <c r="R9" s="2" t="s">
        <v>98</v>
      </c>
      <c r="S9" s="2" t="s">
        <v>99</v>
      </c>
      <c r="T9" s="2" t="s">
        <v>117</v>
      </c>
      <c r="U9" s="2" t="s">
        <v>101</v>
      </c>
      <c r="V9" s="5">
        <v>46046</v>
      </c>
      <c r="W9" s="5">
        <v>46057</v>
      </c>
      <c r="X9" s="2" t="s">
        <v>41</v>
      </c>
    </row>
    <row r="10" spans="1:24" ht="71.25">
      <c r="A10" s="2" t="s">
        <v>118</v>
      </c>
      <c r="B10" s="2" t="s">
        <v>119</v>
      </c>
      <c r="C10" s="2" t="s">
        <v>120</v>
      </c>
      <c r="D10" s="2" t="s">
        <v>92</v>
      </c>
      <c r="E10" s="2" t="s">
        <v>121</v>
      </c>
      <c r="F10" s="2" t="s">
        <v>122</v>
      </c>
      <c r="G10" s="2" t="s">
        <v>123</v>
      </c>
      <c r="H10" s="2" t="s">
        <v>30</v>
      </c>
      <c r="I10" s="2" t="s">
        <v>48</v>
      </c>
      <c r="J10" s="2" t="s">
        <v>49</v>
      </c>
      <c r="K10" s="2" t="s">
        <v>72</v>
      </c>
      <c r="L10" s="2" t="s">
        <v>527</v>
      </c>
      <c r="M10" s="2" t="s">
        <v>73</v>
      </c>
      <c r="N10" s="2" t="s">
        <v>52</v>
      </c>
      <c r="O10" s="2" t="s">
        <v>124</v>
      </c>
      <c r="P10" s="3">
        <v>20.2</v>
      </c>
      <c r="Q10" s="4">
        <v>0</v>
      </c>
      <c r="R10" s="2" t="s">
        <v>98</v>
      </c>
      <c r="S10" s="2" t="s">
        <v>99</v>
      </c>
      <c r="T10" s="2" t="s">
        <v>125</v>
      </c>
      <c r="U10" s="2" t="s">
        <v>101</v>
      </c>
      <c r="V10" s="5">
        <v>46048</v>
      </c>
      <c r="W10" s="5">
        <v>46051</v>
      </c>
      <c r="X10" s="2" t="s">
        <v>55</v>
      </c>
    </row>
    <row r="11" spans="1:24" ht="71.25">
      <c r="A11" s="2" t="s">
        <v>126</v>
      </c>
      <c r="B11" s="2" t="s">
        <v>127</v>
      </c>
      <c r="C11" s="2" t="s">
        <v>128</v>
      </c>
      <c r="D11" s="2" t="s">
        <v>92</v>
      </c>
      <c r="E11" s="2" t="s">
        <v>129</v>
      </c>
      <c r="F11" s="2" t="s">
        <v>130</v>
      </c>
      <c r="G11" s="2" t="s">
        <v>131</v>
      </c>
      <c r="H11" s="2" t="s">
        <v>30</v>
      </c>
      <c r="I11" s="2" t="s">
        <v>96</v>
      </c>
      <c r="J11" s="2" t="s">
        <v>32</v>
      </c>
      <c r="K11" s="2" t="s">
        <v>85</v>
      </c>
      <c r="L11" s="2" t="s">
        <v>527</v>
      </c>
      <c r="M11" s="2" t="s">
        <v>86</v>
      </c>
      <c r="N11" s="2" t="s">
        <v>63</v>
      </c>
      <c r="O11" s="2" t="s">
        <v>132</v>
      </c>
      <c r="P11" s="3">
        <v>22.3</v>
      </c>
      <c r="Q11" s="4">
        <v>0</v>
      </c>
      <c r="R11" s="2" t="s">
        <v>98</v>
      </c>
      <c r="S11" s="2" t="s">
        <v>99</v>
      </c>
      <c r="T11" s="2" t="s">
        <v>133</v>
      </c>
      <c r="U11" s="2" t="s">
        <v>101</v>
      </c>
      <c r="V11" s="5">
        <v>46050</v>
      </c>
      <c r="W11" s="5">
        <v>46054</v>
      </c>
      <c r="X11" s="2" t="s">
        <v>55</v>
      </c>
    </row>
    <row r="12" spans="1:24" ht="71.25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30</v>
      </c>
      <c r="I12" s="2" t="s">
        <v>31</v>
      </c>
      <c r="J12" s="2" t="s">
        <v>32</v>
      </c>
      <c r="K12" s="2" t="s">
        <v>33</v>
      </c>
      <c r="L12" s="2" t="s">
        <v>527</v>
      </c>
      <c r="M12" s="2" t="s">
        <v>34</v>
      </c>
      <c r="N12" s="2" t="s">
        <v>35</v>
      </c>
      <c r="O12" s="2" t="s">
        <v>141</v>
      </c>
      <c r="P12" s="3">
        <v>51.8</v>
      </c>
      <c r="Q12" s="4">
        <v>24640</v>
      </c>
      <c r="R12" s="2" t="s">
        <v>142</v>
      </c>
      <c r="S12" s="2" t="s">
        <v>143</v>
      </c>
      <c r="T12" s="2" t="s">
        <v>144</v>
      </c>
      <c r="U12" s="2" t="s">
        <v>145</v>
      </c>
      <c r="V12" s="5">
        <v>46052</v>
      </c>
      <c r="W12" s="5">
        <v>46057</v>
      </c>
      <c r="X12" s="2" t="s">
        <v>41</v>
      </c>
    </row>
    <row r="13" spans="1:24" ht="71.25">
      <c r="A13" s="2" t="s">
        <v>146</v>
      </c>
      <c r="B13" s="2" t="s">
        <v>147</v>
      </c>
      <c r="C13" s="2" t="s">
        <v>148</v>
      </c>
      <c r="D13" s="2" t="s">
        <v>137</v>
      </c>
      <c r="E13" s="2" t="s">
        <v>149</v>
      </c>
      <c r="F13" s="2" t="s">
        <v>150</v>
      </c>
      <c r="G13" s="2" t="s">
        <v>151</v>
      </c>
      <c r="H13" s="2" t="s">
        <v>30</v>
      </c>
      <c r="I13" s="2" t="s">
        <v>83</v>
      </c>
      <c r="J13" s="2" t="s">
        <v>84</v>
      </c>
      <c r="K13" s="2" t="s">
        <v>50</v>
      </c>
      <c r="L13" s="2" t="s">
        <v>527</v>
      </c>
      <c r="M13" s="2" t="s">
        <v>51</v>
      </c>
      <c r="N13" s="2" t="s">
        <v>52</v>
      </c>
      <c r="O13" s="2" t="s">
        <v>152</v>
      </c>
      <c r="P13" s="3">
        <v>56.2</v>
      </c>
      <c r="Q13" s="4">
        <v>28480</v>
      </c>
      <c r="R13" s="2" t="s">
        <v>142</v>
      </c>
      <c r="S13" s="2" t="s">
        <v>143</v>
      </c>
      <c r="T13" s="2" t="s">
        <v>153</v>
      </c>
      <c r="U13" s="2" t="s">
        <v>145</v>
      </c>
      <c r="V13" s="5">
        <v>46054</v>
      </c>
      <c r="W13" s="5">
        <v>46060</v>
      </c>
      <c r="X13" s="2" t="s">
        <v>41</v>
      </c>
    </row>
    <row r="14" spans="1:24" ht="57">
      <c r="A14" s="2" t="s">
        <v>154</v>
      </c>
      <c r="B14" s="2" t="s">
        <v>155</v>
      </c>
      <c r="C14" s="2" t="s">
        <v>156</v>
      </c>
      <c r="D14" s="2" t="s">
        <v>137</v>
      </c>
      <c r="E14" s="2" t="s">
        <v>157</v>
      </c>
      <c r="F14" s="2" t="s">
        <v>158</v>
      </c>
      <c r="G14" s="2" t="s">
        <v>159</v>
      </c>
      <c r="H14" s="2" t="s">
        <v>30</v>
      </c>
      <c r="I14" s="2" t="s">
        <v>48</v>
      </c>
      <c r="J14" s="2" t="s">
        <v>49</v>
      </c>
      <c r="K14" s="2" t="s">
        <v>61</v>
      </c>
      <c r="L14" s="2" t="s">
        <v>527</v>
      </c>
      <c r="M14" s="2" t="s">
        <v>62</v>
      </c>
      <c r="N14" s="2" t="s">
        <v>63</v>
      </c>
      <c r="O14" s="2" t="s">
        <v>160</v>
      </c>
      <c r="P14" s="3">
        <v>60.5</v>
      </c>
      <c r="Q14" s="4">
        <v>32320</v>
      </c>
      <c r="R14" s="2" t="s">
        <v>142</v>
      </c>
      <c r="S14" s="2" t="s">
        <v>143</v>
      </c>
      <c r="T14" s="2" t="s">
        <v>161</v>
      </c>
      <c r="U14" s="2" t="s">
        <v>145</v>
      </c>
      <c r="V14" s="5">
        <v>46056</v>
      </c>
      <c r="W14" s="5">
        <v>46063</v>
      </c>
      <c r="X14" s="2" t="s">
        <v>41</v>
      </c>
    </row>
    <row r="15" spans="1:24" ht="71.25">
      <c r="A15" s="2" t="s">
        <v>162</v>
      </c>
      <c r="B15" s="2" t="s">
        <v>163</v>
      </c>
      <c r="C15" s="2" t="s">
        <v>164</v>
      </c>
      <c r="D15" s="2" t="s">
        <v>137</v>
      </c>
      <c r="E15" s="2" t="s">
        <v>165</v>
      </c>
      <c r="F15" s="2" t="s">
        <v>166</v>
      </c>
      <c r="G15" s="2" t="s">
        <v>167</v>
      </c>
      <c r="H15" s="2" t="s">
        <v>30</v>
      </c>
      <c r="I15" s="2" t="s">
        <v>31</v>
      </c>
      <c r="J15" s="2" t="s">
        <v>32</v>
      </c>
      <c r="K15" s="2" t="s">
        <v>72</v>
      </c>
      <c r="L15" s="2" t="s">
        <v>527</v>
      </c>
      <c r="M15" s="2" t="s">
        <v>73</v>
      </c>
      <c r="N15" s="2" t="s">
        <v>74</v>
      </c>
      <c r="O15" s="2" t="s">
        <v>168</v>
      </c>
      <c r="P15" s="3">
        <v>34.6</v>
      </c>
      <c r="Q15" s="4">
        <v>36160</v>
      </c>
      <c r="R15" s="2" t="s">
        <v>142</v>
      </c>
      <c r="S15" s="2" t="s">
        <v>143</v>
      </c>
      <c r="T15" s="2" t="s">
        <v>169</v>
      </c>
      <c r="U15" s="2" t="s">
        <v>145</v>
      </c>
      <c r="V15" s="5">
        <v>46058</v>
      </c>
      <c r="W15" s="5">
        <v>46066</v>
      </c>
      <c r="X15" s="2" t="s">
        <v>41</v>
      </c>
    </row>
    <row r="16" spans="1:24" ht="57">
      <c r="A16" s="2" t="s">
        <v>170</v>
      </c>
      <c r="B16" s="2" t="s">
        <v>171</v>
      </c>
      <c r="C16" s="2" t="s">
        <v>172</v>
      </c>
      <c r="D16" s="2" t="s">
        <v>137</v>
      </c>
      <c r="E16" s="2" t="s">
        <v>173</v>
      </c>
      <c r="F16" s="2" t="s">
        <v>174</v>
      </c>
      <c r="G16" s="2" t="s">
        <v>175</v>
      </c>
      <c r="H16" s="2" t="s">
        <v>30</v>
      </c>
      <c r="I16" s="2" t="s">
        <v>83</v>
      </c>
      <c r="J16" s="2" t="s">
        <v>84</v>
      </c>
      <c r="K16" s="2" t="s">
        <v>85</v>
      </c>
      <c r="L16" s="2" t="s">
        <v>527</v>
      </c>
      <c r="M16" s="2" t="s">
        <v>86</v>
      </c>
      <c r="N16" s="2" t="s">
        <v>35</v>
      </c>
      <c r="O16" s="2" t="s">
        <v>176</v>
      </c>
      <c r="P16" s="3">
        <v>38.9</v>
      </c>
      <c r="Q16" s="4">
        <v>20800</v>
      </c>
      <c r="R16" s="2" t="s">
        <v>142</v>
      </c>
      <c r="S16" s="2" t="s">
        <v>143</v>
      </c>
      <c r="T16" s="2" t="s">
        <v>177</v>
      </c>
      <c r="U16" s="2" t="s">
        <v>145</v>
      </c>
      <c r="V16" s="5">
        <v>46060</v>
      </c>
      <c r="W16" s="5">
        <v>46069</v>
      </c>
      <c r="X16" s="2" t="s">
        <v>41</v>
      </c>
    </row>
    <row r="17" spans="1:24" ht="71.25">
      <c r="A17" s="2" t="s">
        <v>178</v>
      </c>
      <c r="B17" s="2" t="s">
        <v>179</v>
      </c>
      <c r="C17" s="2" t="s">
        <v>180</v>
      </c>
      <c r="D17" s="2" t="s">
        <v>181</v>
      </c>
      <c r="E17" s="2" t="s">
        <v>182</v>
      </c>
      <c r="F17" s="2" t="s">
        <v>183</v>
      </c>
      <c r="G17" s="2" t="s">
        <v>184</v>
      </c>
      <c r="H17" s="2" t="s">
        <v>30</v>
      </c>
      <c r="I17" s="2" t="s">
        <v>83</v>
      </c>
      <c r="J17" s="2" t="s">
        <v>84</v>
      </c>
      <c r="K17" s="2" t="s">
        <v>33</v>
      </c>
      <c r="L17" s="2" t="s">
        <v>527</v>
      </c>
      <c r="M17" s="2" t="s">
        <v>34</v>
      </c>
      <c r="N17" s="2" t="s">
        <v>63</v>
      </c>
      <c r="O17" s="2" t="s">
        <v>36</v>
      </c>
      <c r="P17" s="3">
        <v>378</v>
      </c>
      <c r="Q17" s="4">
        <v>138600</v>
      </c>
      <c r="R17" s="2" t="s">
        <v>37</v>
      </c>
      <c r="S17" s="2" t="s">
        <v>185</v>
      </c>
      <c r="T17" s="2" t="s">
        <v>186</v>
      </c>
      <c r="U17" s="2" t="s">
        <v>187</v>
      </c>
      <c r="V17" s="5">
        <v>46062</v>
      </c>
      <c r="W17" s="5">
        <v>46072</v>
      </c>
      <c r="X17" s="2" t="s">
        <v>41</v>
      </c>
    </row>
    <row r="18" spans="1:24" ht="71.25">
      <c r="A18" s="2" t="s">
        <v>188</v>
      </c>
      <c r="B18" s="2" t="s">
        <v>189</v>
      </c>
      <c r="C18" s="2" t="s">
        <v>190</v>
      </c>
      <c r="D18" s="2" t="s">
        <v>181</v>
      </c>
      <c r="E18" s="2" t="s">
        <v>191</v>
      </c>
      <c r="F18" s="2" t="s">
        <v>192</v>
      </c>
      <c r="G18" s="2" t="s">
        <v>193</v>
      </c>
      <c r="H18" s="2" t="s">
        <v>30</v>
      </c>
      <c r="I18" s="2" t="s">
        <v>83</v>
      </c>
      <c r="J18" s="2" t="s">
        <v>84</v>
      </c>
      <c r="K18" s="2" t="s">
        <v>50</v>
      </c>
      <c r="L18" s="2" t="s">
        <v>527</v>
      </c>
      <c r="M18" s="2" t="s">
        <v>51</v>
      </c>
      <c r="N18" s="2" t="s">
        <v>74</v>
      </c>
      <c r="O18" s="2" t="s">
        <v>53</v>
      </c>
      <c r="P18" s="3">
        <v>415.8</v>
      </c>
      <c r="Q18" s="4">
        <v>160200</v>
      </c>
      <c r="R18" s="2" t="s">
        <v>37</v>
      </c>
      <c r="S18" s="2" t="s">
        <v>185</v>
      </c>
      <c r="T18" s="2" t="s">
        <v>194</v>
      </c>
      <c r="U18" s="2" t="s">
        <v>187</v>
      </c>
      <c r="V18" s="5">
        <v>46064</v>
      </c>
      <c r="W18" s="5">
        <v>46075</v>
      </c>
      <c r="X18" s="2" t="s">
        <v>41</v>
      </c>
    </row>
    <row r="19" spans="1:24" ht="71.25">
      <c r="A19" s="2" t="s">
        <v>195</v>
      </c>
      <c r="B19" s="2" t="s">
        <v>196</v>
      </c>
      <c r="C19" s="2" t="s">
        <v>197</v>
      </c>
      <c r="D19" s="2" t="s">
        <v>181</v>
      </c>
      <c r="E19" s="2" t="s">
        <v>198</v>
      </c>
      <c r="F19" s="2" t="s">
        <v>199</v>
      </c>
      <c r="G19" s="2" t="s">
        <v>200</v>
      </c>
      <c r="H19" s="2" t="s">
        <v>30</v>
      </c>
      <c r="I19" s="2" t="s">
        <v>48</v>
      </c>
      <c r="J19" s="2" t="s">
        <v>49</v>
      </c>
      <c r="K19" s="2" t="s">
        <v>61</v>
      </c>
      <c r="L19" s="2" t="s">
        <v>527</v>
      </c>
      <c r="M19" s="2" t="s">
        <v>62</v>
      </c>
      <c r="N19" s="2" t="s">
        <v>35</v>
      </c>
      <c r="O19" s="2" t="s">
        <v>64</v>
      </c>
      <c r="P19" s="3">
        <v>453.6</v>
      </c>
      <c r="Q19" s="4">
        <v>181800</v>
      </c>
      <c r="R19" s="2" t="s">
        <v>37</v>
      </c>
      <c r="S19" s="2" t="s">
        <v>185</v>
      </c>
      <c r="T19" s="2" t="s">
        <v>201</v>
      </c>
      <c r="U19" s="2" t="s">
        <v>187</v>
      </c>
      <c r="V19" s="5">
        <v>46066</v>
      </c>
      <c r="W19" s="5">
        <v>46069</v>
      </c>
      <c r="X19" s="2" t="s">
        <v>41</v>
      </c>
    </row>
    <row r="20" spans="1:24" ht="71.25">
      <c r="A20" s="2" t="s">
        <v>202</v>
      </c>
      <c r="B20" s="2" t="s">
        <v>203</v>
      </c>
      <c r="C20" s="2" t="s">
        <v>204</v>
      </c>
      <c r="D20" s="2" t="s">
        <v>181</v>
      </c>
      <c r="E20" s="2" t="s">
        <v>205</v>
      </c>
      <c r="F20" s="2" t="s">
        <v>206</v>
      </c>
      <c r="G20" s="2" t="s">
        <v>207</v>
      </c>
      <c r="H20" s="2" t="s">
        <v>30</v>
      </c>
      <c r="I20" s="2" t="s">
        <v>31</v>
      </c>
      <c r="J20" s="2" t="s">
        <v>32</v>
      </c>
      <c r="K20" s="2" t="s">
        <v>72</v>
      </c>
      <c r="L20" s="2" t="s">
        <v>527</v>
      </c>
      <c r="M20" s="2" t="s">
        <v>73</v>
      </c>
      <c r="N20" s="2" t="s">
        <v>52</v>
      </c>
      <c r="O20" s="2" t="s">
        <v>75</v>
      </c>
      <c r="P20" s="3">
        <v>491.4</v>
      </c>
      <c r="Q20" s="4">
        <v>203399</v>
      </c>
      <c r="R20" s="2" t="s">
        <v>37</v>
      </c>
      <c r="S20" s="2" t="s">
        <v>185</v>
      </c>
      <c r="T20" s="2" t="s">
        <v>208</v>
      </c>
      <c r="U20" s="2" t="s">
        <v>187</v>
      </c>
      <c r="V20" s="5">
        <v>46068</v>
      </c>
      <c r="W20" s="5">
        <v>46072</v>
      </c>
      <c r="X20" s="2" t="s">
        <v>41</v>
      </c>
    </row>
    <row r="21" spans="1:24" ht="71.25">
      <c r="A21" s="2" t="s">
        <v>209</v>
      </c>
      <c r="B21" s="2" t="s">
        <v>210</v>
      </c>
      <c r="C21" s="2" t="s">
        <v>211</v>
      </c>
      <c r="D21" s="2" t="s">
        <v>181</v>
      </c>
      <c r="E21" s="2" t="s">
        <v>212</v>
      </c>
      <c r="F21" s="2" t="s">
        <v>213</v>
      </c>
      <c r="G21" s="2" t="s">
        <v>214</v>
      </c>
      <c r="H21" s="2" t="s">
        <v>30</v>
      </c>
      <c r="I21" s="2" t="s">
        <v>215</v>
      </c>
      <c r="J21" s="2" t="s">
        <v>84</v>
      </c>
      <c r="K21" s="2" t="s">
        <v>85</v>
      </c>
      <c r="L21" s="2" t="s">
        <v>527</v>
      </c>
      <c r="M21" s="2" t="s">
        <v>86</v>
      </c>
      <c r="N21" s="2" t="s">
        <v>63</v>
      </c>
      <c r="O21" s="2" t="s">
        <v>87</v>
      </c>
      <c r="P21" s="3">
        <v>529.20000000000005</v>
      </c>
      <c r="Q21" s="4">
        <v>117000</v>
      </c>
      <c r="R21" s="2" t="s">
        <v>37</v>
      </c>
      <c r="S21" s="2" t="s">
        <v>185</v>
      </c>
      <c r="T21" s="2" t="s">
        <v>216</v>
      </c>
      <c r="U21" s="2" t="s">
        <v>187</v>
      </c>
      <c r="V21" s="5">
        <v>46070</v>
      </c>
      <c r="W21" s="5">
        <v>46075</v>
      </c>
      <c r="X21" s="2" t="s">
        <v>41</v>
      </c>
    </row>
    <row r="22" spans="1:24" ht="71.25">
      <c r="A22" s="2" t="s">
        <v>217</v>
      </c>
      <c r="B22" s="2" t="s">
        <v>218</v>
      </c>
      <c r="C22" s="2" t="s">
        <v>219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224</v>
      </c>
      <c r="I22" s="2" t="s">
        <v>31</v>
      </c>
      <c r="J22" s="2" t="s">
        <v>32</v>
      </c>
      <c r="K22" s="2" t="s">
        <v>33</v>
      </c>
      <c r="L22" s="2" t="s">
        <v>527</v>
      </c>
      <c r="M22" s="2" t="s">
        <v>34</v>
      </c>
      <c r="N22" s="2" t="s">
        <v>35</v>
      </c>
      <c r="O22" s="2" t="s">
        <v>97</v>
      </c>
      <c r="P22" s="3">
        <v>25.9</v>
      </c>
      <c r="Q22" s="4">
        <v>0</v>
      </c>
      <c r="R22" s="2" t="s">
        <v>225</v>
      </c>
      <c r="S22" s="2" t="s">
        <v>226</v>
      </c>
      <c r="T22" s="2" t="s">
        <v>227</v>
      </c>
      <c r="U22" s="2" t="s">
        <v>228</v>
      </c>
      <c r="V22" s="5">
        <v>46072</v>
      </c>
      <c r="W22" s="5">
        <v>46078</v>
      </c>
      <c r="X22" s="2" t="s">
        <v>41</v>
      </c>
    </row>
    <row r="23" spans="1:24" ht="71.25">
      <c r="A23" s="2" t="s">
        <v>229</v>
      </c>
      <c r="B23" s="2" t="s">
        <v>230</v>
      </c>
      <c r="C23" s="2" t="s">
        <v>231</v>
      </c>
      <c r="D23" s="2" t="s">
        <v>220</v>
      </c>
      <c r="E23" s="2" t="s">
        <v>232</v>
      </c>
      <c r="F23" s="2" t="s">
        <v>233</v>
      </c>
      <c r="G23" s="2" t="s">
        <v>234</v>
      </c>
      <c r="H23" s="2" t="s">
        <v>224</v>
      </c>
      <c r="I23" s="2" t="s">
        <v>31</v>
      </c>
      <c r="J23" s="2" t="s">
        <v>32</v>
      </c>
      <c r="K23" s="2" t="s">
        <v>50</v>
      </c>
      <c r="L23" s="2" t="s">
        <v>527</v>
      </c>
      <c r="M23" s="2" t="s">
        <v>51</v>
      </c>
      <c r="N23" s="2" t="s">
        <v>52</v>
      </c>
      <c r="O23" s="2" t="s">
        <v>108</v>
      </c>
      <c r="P23" s="3">
        <v>29.2</v>
      </c>
      <c r="Q23" s="4">
        <v>0</v>
      </c>
      <c r="R23" s="2" t="s">
        <v>225</v>
      </c>
      <c r="S23" s="2" t="s">
        <v>226</v>
      </c>
      <c r="T23" s="2" t="s">
        <v>235</v>
      </c>
      <c r="U23" s="2" t="s">
        <v>228</v>
      </c>
      <c r="V23" s="5">
        <v>46074</v>
      </c>
      <c r="W23" s="5">
        <v>46081</v>
      </c>
      <c r="X23" s="2" t="s">
        <v>41</v>
      </c>
    </row>
    <row r="24" spans="1:24" ht="71.25">
      <c r="A24" s="2" t="s">
        <v>236</v>
      </c>
      <c r="B24" s="2" t="s">
        <v>237</v>
      </c>
      <c r="C24" s="2" t="s">
        <v>238</v>
      </c>
      <c r="D24" s="2" t="s">
        <v>220</v>
      </c>
      <c r="E24" s="2" t="s">
        <v>239</v>
      </c>
      <c r="F24" s="2" t="s">
        <v>240</v>
      </c>
      <c r="G24" s="2" t="s">
        <v>241</v>
      </c>
      <c r="H24" s="2" t="s">
        <v>224</v>
      </c>
      <c r="I24" s="2" t="s">
        <v>83</v>
      </c>
      <c r="J24" s="2" t="s">
        <v>84</v>
      </c>
      <c r="K24" s="2" t="s">
        <v>61</v>
      </c>
      <c r="L24" s="2" t="s">
        <v>527</v>
      </c>
      <c r="M24" s="2" t="s">
        <v>62</v>
      </c>
      <c r="N24" s="2" t="s">
        <v>63</v>
      </c>
      <c r="O24" s="2" t="s">
        <v>116</v>
      </c>
      <c r="P24" s="3">
        <v>32.4</v>
      </c>
      <c r="Q24" s="4">
        <v>0</v>
      </c>
      <c r="R24" s="2" t="s">
        <v>225</v>
      </c>
      <c r="S24" s="2" t="s">
        <v>226</v>
      </c>
      <c r="T24" s="2" t="s">
        <v>242</v>
      </c>
      <c r="U24" s="2" t="s">
        <v>228</v>
      </c>
      <c r="V24" s="5">
        <v>46076</v>
      </c>
      <c r="W24" s="5">
        <v>46084</v>
      </c>
      <c r="X24" s="2" t="s">
        <v>41</v>
      </c>
    </row>
    <row r="25" spans="1:24" ht="42.75">
      <c r="A25" s="2" t="s">
        <v>528</v>
      </c>
      <c r="B25" s="2" t="s">
        <v>529</v>
      </c>
      <c r="C25" s="2" t="s">
        <v>530</v>
      </c>
      <c r="D25" s="2" t="s">
        <v>26</v>
      </c>
      <c r="E25" s="2" t="s">
        <v>531</v>
      </c>
      <c r="F25" s="2" t="s">
        <v>532</v>
      </c>
      <c r="G25" s="2" t="s">
        <v>533</v>
      </c>
      <c r="H25" s="2" t="s">
        <v>30</v>
      </c>
      <c r="I25" s="2" t="s">
        <v>31</v>
      </c>
      <c r="J25" s="2" t="s">
        <v>32</v>
      </c>
      <c r="K25" s="2" t="s">
        <v>534</v>
      </c>
      <c r="L25" s="13" t="s">
        <v>527</v>
      </c>
      <c r="M25" s="2" t="s">
        <v>62</v>
      </c>
      <c r="N25" s="2" t="s">
        <v>52</v>
      </c>
      <c r="O25" s="2" t="s">
        <v>97</v>
      </c>
      <c r="P25" s="3">
        <v>12.5</v>
      </c>
      <c r="Q25" s="4">
        <v>12000</v>
      </c>
      <c r="R25" s="2" t="s">
        <v>142</v>
      </c>
      <c r="S25" s="2" t="s">
        <v>535</v>
      </c>
      <c r="T25" s="2" t="s">
        <v>536</v>
      </c>
      <c r="U25" s="2" t="s">
        <v>537</v>
      </c>
      <c r="V25" s="5">
        <v>46218</v>
      </c>
      <c r="W25" s="5">
        <v>46218</v>
      </c>
      <c r="X25" s="2" t="s">
        <v>55</v>
      </c>
    </row>
    <row r="26" spans="1:24" ht="71.25">
      <c r="A26" s="2" t="s">
        <v>243</v>
      </c>
      <c r="B26" s="2" t="s">
        <v>244</v>
      </c>
      <c r="C26" s="2" t="s">
        <v>245</v>
      </c>
      <c r="D26" s="2" t="s">
        <v>220</v>
      </c>
      <c r="E26" s="2" t="s">
        <v>246</v>
      </c>
      <c r="F26" s="2" t="s">
        <v>247</v>
      </c>
      <c r="G26" s="2" t="s">
        <v>248</v>
      </c>
      <c r="H26" s="2" t="s">
        <v>224</v>
      </c>
      <c r="I26" s="2" t="s">
        <v>48</v>
      </c>
      <c r="J26" s="2" t="s">
        <v>49</v>
      </c>
      <c r="K26" s="2" t="s">
        <v>72</v>
      </c>
      <c r="L26" s="2" t="s">
        <v>527</v>
      </c>
      <c r="M26" s="2" t="s">
        <v>73</v>
      </c>
      <c r="N26" s="2" t="s">
        <v>74</v>
      </c>
      <c r="O26" s="2" t="s">
        <v>124</v>
      </c>
      <c r="P26" s="3">
        <v>35.6</v>
      </c>
      <c r="Q26" s="4">
        <v>0</v>
      </c>
      <c r="R26" s="2" t="s">
        <v>225</v>
      </c>
      <c r="S26" s="2" t="s">
        <v>226</v>
      </c>
      <c r="T26" s="2" t="s">
        <v>249</v>
      </c>
      <c r="U26" s="2" t="s">
        <v>228</v>
      </c>
      <c r="V26" s="5">
        <v>46078</v>
      </c>
      <c r="W26" s="5">
        <v>46087</v>
      </c>
      <c r="X26" s="2" t="s">
        <v>41</v>
      </c>
    </row>
    <row r="27" spans="1:24" ht="71.25">
      <c r="A27" s="2" t="s">
        <v>250</v>
      </c>
      <c r="B27" s="2" t="s">
        <v>251</v>
      </c>
      <c r="C27" s="2" t="s">
        <v>252</v>
      </c>
      <c r="D27" s="2" t="s">
        <v>220</v>
      </c>
      <c r="E27" s="2" t="s">
        <v>253</v>
      </c>
      <c r="F27" s="2" t="s">
        <v>254</v>
      </c>
      <c r="G27" s="2" t="s">
        <v>255</v>
      </c>
      <c r="H27" s="2" t="s">
        <v>224</v>
      </c>
      <c r="I27" s="2" t="s">
        <v>31</v>
      </c>
      <c r="J27" s="2" t="s">
        <v>32</v>
      </c>
      <c r="K27" s="2" t="s">
        <v>85</v>
      </c>
      <c r="L27" s="2" t="s">
        <v>527</v>
      </c>
      <c r="M27" s="2" t="s">
        <v>86</v>
      </c>
      <c r="N27" s="2" t="s">
        <v>35</v>
      </c>
      <c r="O27" s="2" t="s">
        <v>132</v>
      </c>
      <c r="P27" s="3">
        <v>38.9</v>
      </c>
      <c r="Q27" s="4">
        <v>0</v>
      </c>
      <c r="R27" s="2" t="s">
        <v>225</v>
      </c>
      <c r="S27" s="2" t="s">
        <v>226</v>
      </c>
      <c r="T27" s="2" t="s">
        <v>256</v>
      </c>
      <c r="U27" s="2" t="s">
        <v>228</v>
      </c>
      <c r="V27" s="5">
        <v>46080</v>
      </c>
      <c r="W27" s="5">
        <v>46090</v>
      </c>
      <c r="X27" s="2" t="s">
        <v>41</v>
      </c>
    </row>
    <row r="28" spans="1:24" ht="71.25">
      <c r="A28" s="2" t="s">
        <v>257</v>
      </c>
      <c r="B28" s="2" t="s">
        <v>258</v>
      </c>
      <c r="C28" s="2" t="s">
        <v>259</v>
      </c>
      <c r="D28" s="2" t="s">
        <v>260</v>
      </c>
      <c r="E28" s="2" t="s">
        <v>261</v>
      </c>
      <c r="F28" s="2" t="s">
        <v>262</v>
      </c>
      <c r="G28" s="2" t="s">
        <v>263</v>
      </c>
      <c r="H28" s="2" t="s">
        <v>264</v>
      </c>
      <c r="I28" s="2" t="s">
        <v>265</v>
      </c>
      <c r="J28" s="2" t="s">
        <v>84</v>
      </c>
      <c r="K28" s="2" t="s">
        <v>33</v>
      </c>
      <c r="L28" s="2" t="s">
        <v>527</v>
      </c>
      <c r="M28" s="2" t="s">
        <v>34</v>
      </c>
      <c r="N28" s="2" t="s">
        <v>63</v>
      </c>
      <c r="O28" s="2" t="s">
        <v>141</v>
      </c>
      <c r="P28" s="3">
        <v>21.1</v>
      </c>
      <c r="Q28" s="4">
        <v>0</v>
      </c>
      <c r="R28" s="2" t="s">
        <v>98</v>
      </c>
      <c r="S28" s="2" t="s">
        <v>266</v>
      </c>
      <c r="T28" s="2" t="s">
        <v>267</v>
      </c>
      <c r="U28" s="2" t="s">
        <v>268</v>
      </c>
      <c r="V28" s="5">
        <v>46082</v>
      </c>
      <c r="W28" s="5">
        <v>46093</v>
      </c>
      <c r="X28" s="2" t="s">
        <v>41</v>
      </c>
    </row>
    <row r="29" spans="1:24" ht="71.25">
      <c r="A29" s="2" t="s">
        <v>269</v>
      </c>
      <c r="B29" s="2" t="s">
        <v>270</v>
      </c>
      <c r="C29" s="2" t="s">
        <v>271</v>
      </c>
      <c r="D29" s="2" t="s">
        <v>260</v>
      </c>
      <c r="E29" s="2" t="s">
        <v>272</v>
      </c>
      <c r="F29" s="2" t="s">
        <v>273</v>
      </c>
      <c r="G29" s="2" t="s">
        <v>274</v>
      </c>
      <c r="H29" s="2" t="s">
        <v>264</v>
      </c>
      <c r="I29" s="2" t="s">
        <v>31</v>
      </c>
      <c r="J29" s="2" t="s">
        <v>32</v>
      </c>
      <c r="K29" s="2" t="s">
        <v>50</v>
      </c>
      <c r="L29" s="2" t="s">
        <v>527</v>
      </c>
      <c r="M29" s="2" t="s">
        <v>51</v>
      </c>
      <c r="N29" s="2" t="s">
        <v>74</v>
      </c>
      <c r="O29" s="2" t="s">
        <v>152</v>
      </c>
      <c r="P29" s="3">
        <v>22.7</v>
      </c>
      <c r="Q29" s="4">
        <v>0</v>
      </c>
      <c r="R29" s="2" t="s">
        <v>98</v>
      </c>
      <c r="S29" s="2" t="s">
        <v>266</v>
      </c>
      <c r="T29" s="2" t="s">
        <v>275</v>
      </c>
      <c r="U29" s="2" t="s">
        <v>268</v>
      </c>
      <c r="V29" s="5">
        <v>46084</v>
      </c>
      <c r="W29" s="5">
        <v>46087</v>
      </c>
      <c r="X29" s="2" t="s">
        <v>41</v>
      </c>
    </row>
    <row r="30" spans="1:24" ht="71.25">
      <c r="A30" s="2" t="s">
        <v>276</v>
      </c>
      <c r="B30" s="2" t="s">
        <v>277</v>
      </c>
      <c r="C30" s="2" t="s">
        <v>278</v>
      </c>
      <c r="D30" s="2" t="s">
        <v>260</v>
      </c>
      <c r="E30" s="2" t="s">
        <v>279</v>
      </c>
      <c r="F30" s="2" t="s">
        <v>280</v>
      </c>
      <c r="G30" s="2" t="s">
        <v>281</v>
      </c>
      <c r="H30" s="2" t="s">
        <v>264</v>
      </c>
      <c r="I30" s="2" t="s">
        <v>48</v>
      </c>
      <c r="J30" s="2" t="s">
        <v>49</v>
      </c>
      <c r="K30" s="2" t="s">
        <v>61</v>
      </c>
      <c r="L30" s="2" t="s">
        <v>527</v>
      </c>
      <c r="M30" s="2" t="s">
        <v>62</v>
      </c>
      <c r="N30" s="2" t="s">
        <v>35</v>
      </c>
      <c r="O30" s="2" t="s">
        <v>160</v>
      </c>
      <c r="P30" s="3">
        <v>13</v>
      </c>
      <c r="Q30" s="4">
        <v>0</v>
      </c>
      <c r="R30" s="2" t="s">
        <v>98</v>
      </c>
      <c r="S30" s="2" t="s">
        <v>266</v>
      </c>
      <c r="T30" s="2" t="s">
        <v>282</v>
      </c>
      <c r="U30" s="2" t="s">
        <v>268</v>
      </c>
      <c r="V30" s="5">
        <v>46086</v>
      </c>
      <c r="W30" s="5">
        <v>46090</v>
      </c>
      <c r="X30" s="2" t="s">
        <v>41</v>
      </c>
    </row>
    <row r="31" spans="1:24" ht="71.25">
      <c r="A31" s="2" t="s">
        <v>283</v>
      </c>
      <c r="B31" s="2" t="s">
        <v>284</v>
      </c>
      <c r="C31" s="2" t="s">
        <v>285</v>
      </c>
      <c r="D31" s="2" t="s">
        <v>260</v>
      </c>
      <c r="E31" s="2" t="s">
        <v>286</v>
      </c>
      <c r="F31" s="2" t="s">
        <v>287</v>
      </c>
      <c r="G31" s="2" t="s">
        <v>288</v>
      </c>
      <c r="H31" s="2" t="s">
        <v>264</v>
      </c>
      <c r="I31" s="2" t="s">
        <v>265</v>
      </c>
      <c r="J31" s="2" t="s">
        <v>84</v>
      </c>
      <c r="K31" s="2" t="s">
        <v>72</v>
      </c>
      <c r="L31" s="2" t="s">
        <v>527</v>
      </c>
      <c r="M31" s="2" t="s">
        <v>73</v>
      </c>
      <c r="N31" s="2" t="s">
        <v>52</v>
      </c>
      <c r="O31" s="2" t="s">
        <v>168</v>
      </c>
      <c r="P31" s="3">
        <v>14.6</v>
      </c>
      <c r="Q31" s="4">
        <v>0</v>
      </c>
      <c r="R31" s="2" t="s">
        <v>98</v>
      </c>
      <c r="S31" s="2" t="s">
        <v>266</v>
      </c>
      <c r="T31" s="2" t="s">
        <v>289</v>
      </c>
      <c r="U31" s="2" t="s">
        <v>268</v>
      </c>
      <c r="V31" s="5">
        <v>46088</v>
      </c>
      <c r="W31" s="5">
        <v>46093</v>
      </c>
      <c r="X31" s="2" t="s">
        <v>41</v>
      </c>
    </row>
    <row r="32" spans="1:24" ht="71.25">
      <c r="A32" s="2" t="s">
        <v>290</v>
      </c>
      <c r="B32" s="2" t="s">
        <v>291</v>
      </c>
      <c r="C32" s="2" t="s">
        <v>292</v>
      </c>
      <c r="D32" s="2" t="s">
        <v>260</v>
      </c>
      <c r="E32" s="2" t="s">
        <v>293</v>
      </c>
      <c r="F32" s="2" t="s">
        <v>294</v>
      </c>
      <c r="G32" s="2" t="s">
        <v>295</v>
      </c>
      <c r="H32" s="2" t="s">
        <v>264</v>
      </c>
      <c r="I32" s="2" t="s">
        <v>296</v>
      </c>
      <c r="J32" s="2" t="s">
        <v>32</v>
      </c>
      <c r="K32" s="2" t="s">
        <v>85</v>
      </c>
      <c r="L32" s="2" t="s">
        <v>527</v>
      </c>
      <c r="M32" s="2" t="s">
        <v>86</v>
      </c>
      <c r="N32" s="2" t="s">
        <v>63</v>
      </c>
      <c r="O32" s="2" t="s">
        <v>176</v>
      </c>
      <c r="P32" s="3">
        <v>16.2</v>
      </c>
      <c r="Q32" s="4">
        <v>0</v>
      </c>
      <c r="R32" s="2" t="s">
        <v>98</v>
      </c>
      <c r="S32" s="2" t="s">
        <v>266</v>
      </c>
      <c r="T32" s="2" t="s">
        <v>297</v>
      </c>
      <c r="U32" s="2" t="s">
        <v>268</v>
      </c>
      <c r="V32" s="5">
        <v>46090</v>
      </c>
      <c r="W32" s="5">
        <v>46096</v>
      </c>
      <c r="X32" s="2" t="s">
        <v>41</v>
      </c>
    </row>
    <row r="33" spans="1:24" ht="71.25">
      <c r="A33" s="2" t="s">
        <v>298</v>
      </c>
      <c r="B33" s="2" t="s">
        <v>299</v>
      </c>
      <c r="C33" s="2" t="s">
        <v>300</v>
      </c>
      <c r="D33" s="2" t="s">
        <v>301</v>
      </c>
      <c r="E33" s="2" t="s">
        <v>302</v>
      </c>
      <c r="F33" s="2" t="s">
        <v>303</v>
      </c>
      <c r="G33" s="2" t="s">
        <v>304</v>
      </c>
      <c r="H33" s="2" t="s">
        <v>305</v>
      </c>
      <c r="I33" s="2" t="s">
        <v>31</v>
      </c>
      <c r="J33" s="2" t="s">
        <v>32</v>
      </c>
      <c r="K33" s="2" t="s">
        <v>33</v>
      </c>
      <c r="L33" s="2" t="s">
        <v>527</v>
      </c>
      <c r="M33" s="2" t="s">
        <v>34</v>
      </c>
      <c r="N33" s="2" t="s">
        <v>35</v>
      </c>
      <c r="O33" s="2" t="s">
        <v>36</v>
      </c>
      <c r="P33" s="3">
        <v>9.4</v>
      </c>
      <c r="Q33" s="4">
        <v>0</v>
      </c>
      <c r="R33" s="2" t="s">
        <v>225</v>
      </c>
      <c r="S33" s="2" t="s">
        <v>306</v>
      </c>
      <c r="T33" s="2" t="s">
        <v>307</v>
      </c>
      <c r="U33" s="2" t="s">
        <v>308</v>
      </c>
      <c r="V33" s="5">
        <v>46092</v>
      </c>
      <c r="W33" s="5">
        <v>46099</v>
      </c>
      <c r="X33" s="2" t="s">
        <v>41</v>
      </c>
    </row>
    <row r="34" spans="1:24" ht="71.25">
      <c r="A34" s="2" t="s">
        <v>309</v>
      </c>
      <c r="B34" s="2" t="s">
        <v>310</v>
      </c>
      <c r="C34" s="2" t="s">
        <v>311</v>
      </c>
      <c r="D34" s="2" t="s">
        <v>301</v>
      </c>
      <c r="E34" s="2" t="s">
        <v>312</v>
      </c>
      <c r="F34" s="2" t="s">
        <v>313</v>
      </c>
      <c r="G34" s="2" t="s">
        <v>314</v>
      </c>
      <c r="H34" s="2" t="s">
        <v>305</v>
      </c>
      <c r="I34" s="2" t="s">
        <v>31</v>
      </c>
      <c r="J34" s="2" t="s">
        <v>32</v>
      </c>
      <c r="K34" s="2" t="s">
        <v>50</v>
      </c>
      <c r="L34" s="2" t="s">
        <v>527</v>
      </c>
      <c r="M34" s="2" t="s">
        <v>51</v>
      </c>
      <c r="N34" s="2" t="s">
        <v>52</v>
      </c>
      <c r="O34" s="2" t="s">
        <v>53</v>
      </c>
      <c r="P34" s="3">
        <v>10.3</v>
      </c>
      <c r="Q34" s="4">
        <v>0</v>
      </c>
      <c r="R34" s="2" t="s">
        <v>225</v>
      </c>
      <c r="S34" s="2" t="s">
        <v>306</v>
      </c>
      <c r="T34" s="2" t="s">
        <v>315</v>
      </c>
      <c r="U34" s="2" t="s">
        <v>308</v>
      </c>
      <c r="V34" s="5">
        <v>46094</v>
      </c>
      <c r="W34" s="5">
        <v>46102</v>
      </c>
      <c r="X34" s="2" t="s">
        <v>55</v>
      </c>
    </row>
    <row r="35" spans="1:24" ht="71.25">
      <c r="A35" s="2" t="s">
        <v>316</v>
      </c>
      <c r="B35" s="2" t="s">
        <v>317</v>
      </c>
      <c r="C35" s="2" t="s">
        <v>318</v>
      </c>
      <c r="D35" s="2" t="s">
        <v>301</v>
      </c>
      <c r="E35" s="2" t="s">
        <v>319</v>
      </c>
      <c r="F35" s="2" t="s">
        <v>320</v>
      </c>
      <c r="G35" s="2" t="s">
        <v>321</v>
      </c>
      <c r="H35" s="2" t="s">
        <v>305</v>
      </c>
      <c r="I35" s="2" t="s">
        <v>31</v>
      </c>
      <c r="J35" s="2" t="s">
        <v>32</v>
      </c>
      <c r="K35" s="2" t="s">
        <v>61</v>
      </c>
      <c r="L35" s="2" t="s">
        <v>527</v>
      </c>
      <c r="M35" s="2" t="s">
        <v>62</v>
      </c>
      <c r="N35" s="2" t="s">
        <v>63</v>
      </c>
      <c r="O35" s="2" t="s">
        <v>64</v>
      </c>
      <c r="P35" s="3">
        <v>11.1</v>
      </c>
      <c r="Q35" s="4">
        <v>0</v>
      </c>
      <c r="R35" s="2" t="s">
        <v>225</v>
      </c>
      <c r="S35" s="2" t="s">
        <v>306</v>
      </c>
      <c r="T35" s="2" t="s">
        <v>322</v>
      </c>
      <c r="U35" s="2" t="s">
        <v>308</v>
      </c>
      <c r="V35" s="5">
        <v>46096</v>
      </c>
      <c r="W35" s="5">
        <v>46105</v>
      </c>
      <c r="X35" s="2" t="s">
        <v>55</v>
      </c>
    </row>
    <row r="36" spans="1:24" ht="71.25">
      <c r="A36" s="2" t="s">
        <v>323</v>
      </c>
      <c r="B36" s="2" t="s">
        <v>324</v>
      </c>
      <c r="C36" s="2" t="s">
        <v>325</v>
      </c>
      <c r="D36" s="2" t="s">
        <v>301</v>
      </c>
      <c r="E36" s="2" t="s">
        <v>326</v>
      </c>
      <c r="F36" s="2" t="s">
        <v>327</v>
      </c>
      <c r="G36" s="2" t="s">
        <v>328</v>
      </c>
      <c r="H36" s="2" t="s">
        <v>305</v>
      </c>
      <c r="I36" s="2" t="s">
        <v>48</v>
      </c>
      <c r="J36" s="2" t="s">
        <v>49</v>
      </c>
      <c r="K36" s="2" t="s">
        <v>72</v>
      </c>
      <c r="L36" s="2" t="s">
        <v>527</v>
      </c>
      <c r="M36" s="2" t="s">
        <v>73</v>
      </c>
      <c r="N36" s="2" t="s">
        <v>74</v>
      </c>
      <c r="O36" s="2" t="s">
        <v>75</v>
      </c>
      <c r="P36" s="3">
        <v>12</v>
      </c>
      <c r="Q36" s="4">
        <v>0</v>
      </c>
      <c r="R36" s="2" t="s">
        <v>225</v>
      </c>
      <c r="S36" s="2" t="s">
        <v>306</v>
      </c>
      <c r="T36" s="2" t="s">
        <v>329</v>
      </c>
      <c r="U36" s="2" t="s">
        <v>308</v>
      </c>
      <c r="V36" s="5">
        <v>46098</v>
      </c>
      <c r="W36" s="5">
        <v>46108</v>
      </c>
      <c r="X36" s="2" t="s">
        <v>41</v>
      </c>
    </row>
    <row r="37" spans="1:24" ht="71.25">
      <c r="A37" s="2" t="s">
        <v>330</v>
      </c>
      <c r="B37" s="2" t="s">
        <v>331</v>
      </c>
      <c r="C37" s="2" t="s">
        <v>332</v>
      </c>
      <c r="D37" s="2" t="s">
        <v>301</v>
      </c>
      <c r="E37" s="2" t="s">
        <v>333</v>
      </c>
      <c r="F37" s="2" t="s">
        <v>334</v>
      </c>
      <c r="G37" s="2" t="s">
        <v>335</v>
      </c>
      <c r="H37" s="2" t="s">
        <v>305</v>
      </c>
      <c r="I37" s="2" t="s">
        <v>83</v>
      </c>
      <c r="J37" s="2" t="s">
        <v>84</v>
      </c>
      <c r="K37" s="2" t="s">
        <v>85</v>
      </c>
      <c r="L37" s="2" t="s">
        <v>527</v>
      </c>
      <c r="M37" s="2" t="s">
        <v>86</v>
      </c>
      <c r="N37" s="2" t="s">
        <v>35</v>
      </c>
      <c r="O37" s="2" t="s">
        <v>87</v>
      </c>
      <c r="P37" s="3">
        <v>6.8</v>
      </c>
      <c r="Q37" s="4">
        <v>0</v>
      </c>
      <c r="R37" s="2" t="s">
        <v>225</v>
      </c>
      <c r="S37" s="2" t="s">
        <v>306</v>
      </c>
      <c r="T37" s="2" t="s">
        <v>336</v>
      </c>
      <c r="U37" s="2" t="s">
        <v>308</v>
      </c>
      <c r="V37" s="5">
        <v>46100</v>
      </c>
      <c r="W37" s="5">
        <v>46111</v>
      </c>
      <c r="X37" s="2" t="s">
        <v>41</v>
      </c>
    </row>
    <row r="38" spans="1:24" ht="71.25">
      <c r="A38" s="2" t="s">
        <v>337</v>
      </c>
      <c r="B38" s="2" t="s">
        <v>338</v>
      </c>
      <c r="C38" s="2" t="s">
        <v>339</v>
      </c>
      <c r="D38" s="2" t="s">
        <v>340</v>
      </c>
      <c r="E38" s="2" t="s">
        <v>341</v>
      </c>
      <c r="F38" s="2" t="s">
        <v>342</v>
      </c>
      <c r="G38" s="2" t="s">
        <v>343</v>
      </c>
      <c r="H38" s="2" t="s">
        <v>344</v>
      </c>
      <c r="I38" s="2" t="s">
        <v>31</v>
      </c>
      <c r="J38" s="2" t="s">
        <v>32</v>
      </c>
      <c r="K38" s="2" t="s">
        <v>33</v>
      </c>
      <c r="L38" s="2" t="s">
        <v>527</v>
      </c>
      <c r="M38" s="2" t="s">
        <v>34</v>
      </c>
      <c r="N38" s="2" t="s">
        <v>63</v>
      </c>
      <c r="O38" s="2" t="s">
        <v>97</v>
      </c>
      <c r="P38" s="3">
        <v>68.8</v>
      </c>
      <c r="Q38" s="4">
        <v>0</v>
      </c>
      <c r="R38" s="2" t="s">
        <v>345</v>
      </c>
      <c r="S38" s="2" t="s">
        <v>346</v>
      </c>
      <c r="T38" s="2" t="s">
        <v>347</v>
      </c>
      <c r="U38" s="2" t="s">
        <v>348</v>
      </c>
      <c r="V38" s="5">
        <v>46102</v>
      </c>
      <c r="W38" s="5">
        <v>46105</v>
      </c>
      <c r="X38" s="2" t="s">
        <v>41</v>
      </c>
    </row>
    <row r="39" spans="1:24" ht="71.25">
      <c r="A39" s="2" t="s">
        <v>349</v>
      </c>
      <c r="B39" s="2" t="s">
        <v>350</v>
      </c>
      <c r="C39" s="2" t="s">
        <v>351</v>
      </c>
      <c r="D39" s="2" t="s">
        <v>340</v>
      </c>
      <c r="E39" s="2" t="s">
        <v>341</v>
      </c>
      <c r="F39" s="2" t="s">
        <v>352</v>
      </c>
      <c r="G39" s="2" t="s">
        <v>353</v>
      </c>
      <c r="H39" s="2" t="s">
        <v>344</v>
      </c>
      <c r="I39" s="2" t="s">
        <v>31</v>
      </c>
      <c r="J39" s="2" t="s">
        <v>32</v>
      </c>
      <c r="K39" s="2" t="s">
        <v>50</v>
      </c>
      <c r="L39" s="2" t="s">
        <v>527</v>
      </c>
      <c r="M39" s="2" t="s">
        <v>51</v>
      </c>
      <c r="N39" s="2" t="s">
        <v>74</v>
      </c>
      <c r="O39" s="2" t="s">
        <v>108</v>
      </c>
      <c r="P39" s="3">
        <v>76.5</v>
      </c>
      <c r="Q39" s="4">
        <v>0</v>
      </c>
      <c r="R39" s="2" t="s">
        <v>345</v>
      </c>
      <c r="S39" s="2" t="s">
        <v>346</v>
      </c>
      <c r="T39" s="2" t="s">
        <v>354</v>
      </c>
      <c r="U39" s="2" t="s">
        <v>348</v>
      </c>
      <c r="V39" s="5">
        <v>46104</v>
      </c>
      <c r="W39" s="5">
        <v>46108</v>
      </c>
      <c r="X39" s="2" t="s">
        <v>41</v>
      </c>
    </row>
    <row r="40" spans="1:24" ht="71.25">
      <c r="A40" s="2" t="s">
        <v>355</v>
      </c>
      <c r="B40" s="2" t="s">
        <v>356</v>
      </c>
      <c r="C40" s="2" t="s">
        <v>357</v>
      </c>
      <c r="D40" s="2" t="s">
        <v>340</v>
      </c>
      <c r="E40" s="2" t="s">
        <v>358</v>
      </c>
      <c r="F40" s="2" t="s">
        <v>359</v>
      </c>
      <c r="G40" s="2" t="s">
        <v>360</v>
      </c>
      <c r="H40" s="2" t="s">
        <v>344</v>
      </c>
      <c r="I40" s="2" t="s">
        <v>215</v>
      </c>
      <c r="J40" s="2" t="s">
        <v>84</v>
      </c>
      <c r="K40" s="2" t="s">
        <v>61</v>
      </c>
      <c r="L40" s="2" t="s">
        <v>527</v>
      </c>
      <c r="M40" s="2" t="s">
        <v>62</v>
      </c>
      <c r="N40" s="2" t="s">
        <v>35</v>
      </c>
      <c r="O40" s="2" t="s">
        <v>116</v>
      </c>
      <c r="P40" s="3">
        <v>84.2</v>
      </c>
      <c r="Q40" s="4">
        <v>0</v>
      </c>
      <c r="R40" s="2" t="s">
        <v>345</v>
      </c>
      <c r="S40" s="2" t="s">
        <v>346</v>
      </c>
      <c r="T40" s="2" t="s">
        <v>361</v>
      </c>
      <c r="U40" s="2" t="s">
        <v>348</v>
      </c>
      <c r="V40" s="5">
        <v>46106</v>
      </c>
      <c r="W40" s="5">
        <v>46111</v>
      </c>
      <c r="X40" s="2" t="s">
        <v>41</v>
      </c>
    </row>
    <row r="41" spans="1:24" ht="71.25">
      <c r="A41" s="2" t="s">
        <v>362</v>
      </c>
      <c r="B41" s="2" t="s">
        <v>363</v>
      </c>
      <c r="C41" s="2" t="s">
        <v>364</v>
      </c>
      <c r="D41" s="2" t="s">
        <v>340</v>
      </c>
      <c r="E41" s="2" t="s">
        <v>365</v>
      </c>
      <c r="F41" s="2" t="s">
        <v>366</v>
      </c>
      <c r="G41" s="2" t="s">
        <v>367</v>
      </c>
      <c r="H41" s="2" t="s">
        <v>344</v>
      </c>
      <c r="I41" s="2" t="s">
        <v>83</v>
      </c>
      <c r="J41" s="2" t="s">
        <v>84</v>
      </c>
      <c r="K41" s="2" t="s">
        <v>72</v>
      </c>
      <c r="L41" s="2" t="s">
        <v>527</v>
      </c>
      <c r="M41" s="2" t="s">
        <v>73</v>
      </c>
      <c r="N41" s="2" t="s">
        <v>52</v>
      </c>
      <c r="O41" s="2" t="s">
        <v>124</v>
      </c>
      <c r="P41" s="3">
        <v>91.8</v>
      </c>
      <c r="Q41" s="4">
        <v>0</v>
      </c>
      <c r="R41" s="2" t="s">
        <v>345</v>
      </c>
      <c r="S41" s="2" t="s">
        <v>346</v>
      </c>
      <c r="T41" s="2" t="s">
        <v>368</v>
      </c>
      <c r="U41" s="2" t="s">
        <v>348</v>
      </c>
      <c r="V41" s="5">
        <v>46108</v>
      </c>
      <c r="W41" s="5">
        <v>46114</v>
      </c>
      <c r="X41" s="2" t="s">
        <v>41</v>
      </c>
    </row>
    <row r="42" spans="1:24" ht="71.25">
      <c r="A42" s="2" t="s">
        <v>369</v>
      </c>
      <c r="B42" s="2" t="s">
        <v>370</v>
      </c>
      <c r="C42" s="2" t="s">
        <v>371</v>
      </c>
      <c r="D42" s="2" t="s">
        <v>340</v>
      </c>
      <c r="E42" s="2" t="s">
        <v>372</v>
      </c>
      <c r="F42" s="2" t="s">
        <v>373</v>
      </c>
      <c r="G42" s="2" t="s">
        <v>374</v>
      </c>
      <c r="H42" s="2" t="s">
        <v>344</v>
      </c>
      <c r="I42" s="2" t="s">
        <v>31</v>
      </c>
      <c r="J42" s="2" t="s">
        <v>32</v>
      </c>
      <c r="K42" s="2" t="s">
        <v>85</v>
      </c>
      <c r="L42" s="2" t="s">
        <v>527</v>
      </c>
      <c r="M42" s="2" t="s">
        <v>86</v>
      </c>
      <c r="N42" s="2" t="s">
        <v>63</v>
      </c>
      <c r="O42" s="2" t="s">
        <v>132</v>
      </c>
      <c r="P42" s="3">
        <v>99.4</v>
      </c>
      <c r="Q42" s="4">
        <v>0</v>
      </c>
      <c r="R42" s="2" t="s">
        <v>345</v>
      </c>
      <c r="S42" s="2" t="s">
        <v>346</v>
      </c>
      <c r="T42" s="2" t="s">
        <v>375</v>
      </c>
      <c r="U42" s="2" t="s">
        <v>348</v>
      </c>
      <c r="V42" s="5">
        <v>46110</v>
      </c>
      <c r="W42" s="5">
        <v>46117</v>
      </c>
      <c r="X42" s="2" t="s">
        <v>41</v>
      </c>
    </row>
    <row r="43" spans="1:24" ht="71.25">
      <c r="A43" s="2" t="s">
        <v>376</v>
      </c>
      <c r="B43" s="2" t="s">
        <v>377</v>
      </c>
      <c r="C43" s="2" t="s">
        <v>378</v>
      </c>
      <c r="D43" s="2" t="s">
        <v>379</v>
      </c>
      <c r="E43" s="2" t="s">
        <v>380</v>
      </c>
      <c r="F43" s="2" t="s">
        <v>381</v>
      </c>
      <c r="G43" s="2" t="s">
        <v>382</v>
      </c>
      <c r="H43" s="2" t="s">
        <v>383</v>
      </c>
      <c r="I43" s="2" t="s">
        <v>31</v>
      </c>
      <c r="J43" s="2" t="s">
        <v>32</v>
      </c>
      <c r="K43" s="2" t="s">
        <v>33</v>
      </c>
      <c r="L43" s="2" t="s">
        <v>527</v>
      </c>
      <c r="M43" s="2" t="s">
        <v>34</v>
      </c>
      <c r="N43" s="2" t="s">
        <v>35</v>
      </c>
      <c r="O43" s="2" t="s">
        <v>141</v>
      </c>
      <c r="P43" s="3">
        <v>3.5</v>
      </c>
      <c r="Q43" s="4">
        <v>0</v>
      </c>
      <c r="R43" s="2" t="s">
        <v>98</v>
      </c>
      <c r="S43" s="2" t="s">
        <v>384</v>
      </c>
      <c r="T43" s="2" t="s">
        <v>385</v>
      </c>
      <c r="U43" s="2" t="s">
        <v>386</v>
      </c>
      <c r="V43" s="5">
        <v>46112</v>
      </c>
      <c r="W43" s="5">
        <v>46120</v>
      </c>
      <c r="X43" s="2" t="s">
        <v>41</v>
      </c>
    </row>
    <row r="44" spans="1:24" ht="71.25">
      <c r="A44" s="2" t="s">
        <v>387</v>
      </c>
      <c r="B44" s="2" t="s">
        <v>388</v>
      </c>
      <c r="C44" s="2" t="s">
        <v>389</v>
      </c>
      <c r="D44" s="2" t="s">
        <v>379</v>
      </c>
      <c r="E44" s="2" t="s">
        <v>390</v>
      </c>
      <c r="F44" s="2" t="s">
        <v>391</v>
      </c>
      <c r="G44" s="2" t="s">
        <v>392</v>
      </c>
      <c r="H44" s="2" t="s">
        <v>383</v>
      </c>
      <c r="I44" s="2" t="s">
        <v>31</v>
      </c>
      <c r="J44" s="2" t="s">
        <v>32</v>
      </c>
      <c r="K44" s="2" t="s">
        <v>50</v>
      </c>
      <c r="L44" s="2" t="s">
        <v>527</v>
      </c>
      <c r="M44" s="2" t="s">
        <v>51</v>
      </c>
      <c r="N44" s="2" t="s">
        <v>52</v>
      </c>
      <c r="O44" s="2" t="s">
        <v>152</v>
      </c>
      <c r="P44" s="3">
        <v>2</v>
      </c>
      <c r="Q44" s="4">
        <v>0</v>
      </c>
      <c r="R44" s="2" t="s">
        <v>98</v>
      </c>
      <c r="S44" s="2" t="s">
        <v>384</v>
      </c>
      <c r="T44" s="2" t="s">
        <v>393</v>
      </c>
      <c r="U44" s="2" t="s">
        <v>386</v>
      </c>
      <c r="V44" s="5">
        <v>46114</v>
      </c>
      <c r="W44" s="5">
        <v>46123</v>
      </c>
      <c r="X44" s="2" t="s">
        <v>55</v>
      </c>
    </row>
    <row r="45" spans="1:24" ht="71.25">
      <c r="A45" s="2" t="s">
        <v>394</v>
      </c>
      <c r="B45" s="2" t="s">
        <v>395</v>
      </c>
      <c r="C45" s="2" t="s">
        <v>396</v>
      </c>
      <c r="D45" s="2" t="s">
        <v>379</v>
      </c>
      <c r="E45" s="2" t="s">
        <v>390</v>
      </c>
      <c r="F45" s="2" t="s">
        <v>397</v>
      </c>
      <c r="G45" s="2" t="s">
        <v>398</v>
      </c>
      <c r="H45" s="2" t="s">
        <v>383</v>
      </c>
      <c r="I45" s="2" t="s">
        <v>31</v>
      </c>
      <c r="J45" s="2" t="s">
        <v>32</v>
      </c>
      <c r="K45" s="2" t="s">
        <v>61</v>
      </c>
      <c r="L45" s="2" t="s">
        <v>527</v>
      </c>
      <c r="M45" s="2" t="s">
        <v>62</v>
      </c>
      <c r="N45" s="2" t="s">
        <v>63</v>
      </c>
      <c r="O45" s="2" t="s">
        <v>160</v>
      </c>
      <c r="P45" s="3">
        <v>2.2999999999999998</v>
      </c>
      <c r="Q45" s="4">
        <v>0</v>
      </c>
      <c r="R45" s="2" t="s">
        <v>98</v>
      </c>
      <c r="S45" s="2" t="s">
        <v>384</v>
      </c>
      <c r="T45" s="2" t="s">
        <v>399</v>
      </c>
      <c r="U45" s="2" t="s">
        <v>386</v>
      </c>
      <c r="V45" s="5">
        <v>46116</v>
      </c>
      <c r="W45" s="5">
        <v>46126</v>
      </c>
      <c r="X45" s="2" t="s">
        <v>55</v>
      </c>
    </row>
    <row r="46" spans="1:24" ht="71.25">
      <c r="A46" s="2" t="s">
        <v>400</v>
      </c>
      <c r="B46" s="2" t="s">
        <v>401</v>
      </c>
      <c r="C46" s="2" t="s">
        <v>402</v>
      </c>
      <c r="D46" s="2" t="s">
        <v>379</v>
      </c>
      <c r="E46" s="2" t="s">
        <v>403</v>
      </c>
      <c r="F46" s="2" t="s">
        <v>404</v>
      </c>
      <c r="G46" s="2" t="s">
        <v>405</v>
      </c>
      <c r="H46" s="2" t="s">
        <v>383</v>
      </c>
      <c r="I46" s="2" t="s">
        <v>31</v>
      </c>
      <c r="J46" s="2" t="s">
        <v>32</v>
      </c>
      <c r="K46" s="2" t="s">
        <v>72</v>
      </c>
      <c r="L46" s="2" t="s">
        <v>527</v>
      </c>
      <c r="M46" s="2" t="s">
        <v>73</v>
      </c>
      <c r="N46" s="2" t="s">
        <v>74</v>
      </c>
      <c r="O46" s="2" t="s">
        <v>168</v>
      </c>
      <c r="P46" s="3">
        <v>2.5</v>
      </c>
      <c r="Q46" s="4">
        <v>0</v>
      </c>
      <c r="R46" s="2" t="s">
        <v>98</v>
      </c>
      <c r="S46" s="2" t="s">
        <v>384</v>
      </c>
      <c r="T46" s="2" t="s">
        <v>406</v>
      </c>
      <c r="U46" s="2" t="s">
        <v>386</v>
      </c>
      <c r="V46" s="5">
        <v>46118</v>
      </c>
      <c r="W46" s="5">
        <v>46129</v>
      </c>
      <c r="X46" s="2" t="s">
        <v>41</v>
      </c>
    </row>
    <row r="47" spans="1:24" ht="71.25">
      <c r="A47" s="2" t="s">
        <v>407</v>
      </c>
      <c r="B47" s="2" t="s">
        <v>408</v>
      </c>
      <c r="C47" s="2" t="s">
        <v>409</v>
      </c>
      <c r="D47" s="2" t="s">
        <v>379</v>
      </c>
      <c r="E47" s="2" t="s">
        <v>410</v>
      </c>
      <c r="F47" s="2" t="s">
        <v>411</v>
      </c>
      <c r="G47" s="2" t="s">
        <v>412</v>
      </c>
      <c r="H47" s="2" t="s">
        <v>383</v>
      </c>
      <c r="I47" s="2" t="s">
        <v>31</v>
      </c>
      <c r="J47" s="2" t="s">
        <v>32</v>
      </c>
      <c r="K47" s="2" t="s">
        <v>85</v>
      </c>
      <c r="L47" s="2" t="s">
        <v>527</v>
      </c>
      <c r="M47" s="2" t="s">
        <v>86</v>
      </c>
      <c r="N47" s="2" t="s">
        <v>35</v>
      </c>
      <c r="O47" s="2" t="s">
        <v>176</v>
      </c>
      <c r="P47" s="3">
        <v>2.8</v>
      </c>
      <c r="Q47" s="4">
        <v>0</v>
      </c>
      <c r="R47" s="2" t="s">
        <v>98</v>
      </c>
      <c r="S47" s="2" t="s">
        <v>384</v>
      </c>
      <c r="T47" s="2" t="s">
        <v>413</v>
      </c>
      <c r="U47" s="2" t="s">
        <v>386</v>
      </c>
      <c r="V47" s="5">
        <v>46120</v>
      </c>
      <c r="W47" s="5">
        <v>46123</v>
      </c>
      <c r="X47" s="2" t="s">
        <v>41</v>
      </c>
    </row>
  </sheetData>
  <phoneticPr fontId="5" type="noConversion"/>
  <conditionalFormatting sqref="M2:M47">
    <cfRule type="expression" dxfId="2" priority="1">
      <formula>M2="已阻塞"</formula>
    </cfRule>
    <cfRule type="expression" dxfId="1" priority="2">
      <formula>M2="已完成"</formula>
    </cfRule>
  </conditionalFormatting>
  <conditionalFormatting sqref="N2:N47">
    <cfRule type="expression" dxfId="0" priority="3">
      <formula>N2="P0"</formula>
    </cfRule>
  </conditionalFormatting>
  <conditionalFormatting sqref="P2:P47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{781CCC16-FFE3-9810-1991-18468031AE2F}</x14:id>
        </ext>
      </extLst>
    </cfRule>
  </conditionalFormatting>
  <dataValidations count="3">
    <dataValidation type="list" sqref="M2:M47" xr:uid="{00000000-0002-0000-0000-000000000000}">
      <formula1>"已完成,制作中,待评审,待采购,已阻塞"</formula1>
    </dataValidation>
    <dataValidation type="list" sqref="N2:N47" xr:uid="{00000000-0002-0000-0000-000001000000}">
      <formula1>"P0,P1,P2,P3"</formula1>
    </dataValidation>
    <dataValidation type="list" sqref="X2:X47" xr:uid="{00000000-0002-0000-0000-000002000000}">
      <formula1>"是,否"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1CCC16-FFE3-9810-1991-18468031AE2F}">
            <x14:dataBar>
              <x14:cfvo type="min"/>
              <x14:cfvo type="max"/>
              <x14:negativeFillColor auto="1"/>
              <x14:axisColor auto="1"/>
            </x14:dataBar>
          </x14:cfRule>
          <xm:sqref>P2:P47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25"/>
  <cols>
    <col min="1" max="1" width="21" customWidth="1"/>
    <col min="2" max="2" width="34" customWidth="1"/>
    <col min="3" max="3" width="58" customWidth="1"/>
    <col min="4" max="4" width="42" customWidth="1"/>
  </cols>
  <sheetData>
    <row r="1" spans="1:4" ht="30" customHeight="1">
      <c r="A1" s="11" t="s">
        <v>414</v>
      </c>
      <c r="B1" s="11"/>
      <c r="C1" s="11"/>
      <c r="D1" s="11"/>
    </row>
    <row r="2" spans="1:4" ht="15">
      <c r="A2" s="6" t="s">
        <v>415</v>
      </c>
      <c r="B2" s="6" t="s">
        <v>416</v>
      </c>
      <c r="C2" s="6" t="s">
        <v>417</v>
      </c>
      <c r="D2" s="6" t="s">
        <v>418</v>
      </c>
    </row>
    <row r="3" spans="1:4" ht="75.95" customHeight="1">
      <c r="A3" s="2" t="s">
        <v>419</v>
      </c>
      <c r="B3" s="2" t="s">
        <v>420</v>
      </c>
      <c r="C3" s="2" t="s">
        <v>421</v>
      </c>
      <c r="D3" s="2" t="s">
        <v>422</v>
      </c>
    </row>
    <row r="4" spans="1:4" ht="75.95" customHeight="1">
      <c r="A4" s="2" t="s">
        <v>423</v>
      </c>
      <c r="B4" s="2" t="s">
        <v>424</v>
      </c>
      <c r="C4" s="2" t="s">
        <v>425</v>
      </c>
      <c r="D4" s="2" t="s">
        <v>426</v>
      </c>
    </row>
    <row r="5" spans="1:4" ht="75.95" customHeight="1">
      <c r="A5" s="2" t="s">
        <v>427</v>
      </c>
      <c r="B5" s="2" t="s">
        <v>428</v>
      </c>
      <c r="C5" s="2" t="s">
        <v>429</v>
      </c>
      <c r="D5" s="2" t="s">
        <v>430</v>
      </c>
    </row>
    <row r="6" spans="1:4" ht="75.95" customHeight="1">
      <c r="A6" s="2" t="s">
        <v>431</v>
      </c>
      <c r="B6" s="2" t="s">
        <v>432</v>
      </c>
      <c r="C6" s="2" t="s">
        <v>433</v>
      </c>
      <c r="D6" s="2" t="s">
        <v>434</v>
      </c>
    </row>
    <row r="7" spans="1:4" ht="75.95" customHeight="1">
      <c r="A7" s="2" t="s">
        <v>435</v>
      </c>
      <c r="B7" s="2" t="s">
        <v>436</v>
      </c>
      <c r="C7" s="2" t="s">
        <v>437</v>
      </c>
      <c r="D7" s="2" t="s">
        <v>438</v>
      </c>
    </row>
    <row r="8" spans="1:4" ht="75.95" customHeight="1">
      <c r="A8" s="2" t="s">
        <v>439</v>
      </c>
      <c r="B8" s="2" t="s">
        <v>440</v>
      </c>
      <c r="C8" s="2" t="s">
        <v>441</v>
      </c>
      <c r="D8" s="2" t="s">
        <v>442</v>
      </c>
    </row>
    <row r="9" spans="1:4" ht="75.95" customHeight="1">
      <c r="A9" s="2" t="s">
        <v>443</v>
      </c>
      <c r="B9" s="2" t="s">
        <v>444</v>
      </c>
      <c r="C9" s="2" t="s">
        <v>445</v>
      </c>
      <c r="D9" s="2" t="s">
        <v>446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25"/>
  <cols>
    <col min="1" max="1" width="14" customWidth="1"/>
    <col min="2" max="2" width="26" customWidth="1"/>
    <col min="3" max="3" width="32" customWidth="1"/>
    <col min="4" max="4" width="38" customWidth="1"/>
    <col min="5" max="5" width="30" customWidth="1"/>
    <col min="6" max="6" width="16" customWidth="1"/>
  </cols>
  <sheetData>
    <row r="1" spans="1:6" ht="15">
      <c r="A1" s="7" t="s">
        <v>8</v>
      </c>
      <c r="B1" s="7" t="s">
        <v>447</v>
      </c>
      <c r="C1" s="7" t="s">
        <v>448</v>
      </c>
      <c r="D1" s="7" t="s">
        <v>449</v>
      </c>
      <c r="E1" s="7" t="s">
        <v>450</v>
      </c>
      <c r="F1" s="7" t="s">
        <v>451</v>
      </c>
    </row>
    <row r="2" spans="1:6" ht="51.95" customHeight="1">
      <c r="A2" s="2" t="s">
        <v>31</v>
      </c>
      <c r="B2" s="2" t="s">
        <v>452</v>
      </c>
      <c r="C2" s="2" t="s">
        <v>453</v>
      </c>
      <c r="D2" s="2" t="s">
        <v>454</v>
      </c>
      <c r="E2" s="2" t="s">
        <v>455</v>
      </c>
      <c r="F2" s="2">
        <v>12</v>
      </c>
    </row>
    <row r="3" spans="1:6" ht="51.95" customHeight="1">
      <c r="A3" s="2" t="s">
        <v>48</v>
      </c>
      <c r="B3" s="2" t="s">
        <v>456</v>
      </c>
      <c r="C3" s="2" t="s">
        <v>457</v>
      </c>
      <c r="D3" s="2" t="s">
        <v>458</v>
      </c>
      <c r="E3" s="2" t="s">
        <v>459</v>
      </c>
      <c r="F3" s="2">
        <v>6</v>
      </c>
    </row>
    <row r="4" spans="1:6" ht="51.95" customHeight="1">
      <c r="A4" s="2" t="s">
        <v>83</v>
      </c>
      <c r="B4" s="2" t="s">
        <v>460</v>
      </c>
      <c r="C4" s="2" t="s">
        <v>461</v>
      </c>
      <c r="D4" s="2" t="s">
        <v>462</v>
      </c>
      <c r="E4" s="2" t="s">
        <v>463</v>
      </c>
      <c r="F4" s="2">
        <v>6</v>
      </c>
    </row>
    <row r="5" spans="1:6" ht="51.95" customHeight="1">
      <c r="A5" s="2" t="s">
        <v>215</v>
      </c>
      <c r="B5" s="2" t="s">
        <v>464</v>
      </c>
      <c r="C5" s="2" t="s">
        <v>465</v>
      </c>
      <c r="D5" s="2" t="s">
        <v>466</v>
      </c>
      <c r="E5" s="2" t="s">
        <v>467</v>
      </c>
      <c r="F5" s="2">
        <v>3</v>
      </c>
    </row>
    <row r="6" spans="1:6" ht="51.95" customHeight="1">
      <c r="A6" s="2" t="s">
        <v>265</v>
      </c>
      <c r="B6" s="2" t="s">
        <v>468</v>
      </c>
      <c r="C6" s="2" t="s">
        <v>469</v>
      </c>
      <c r="D6" s="2" t="s">
        <v>470</v>
      </c>
      <c r="E6" s="2" t="s">
        <v>471</v>
      </c>
      <c r="F6" s="2">
        <v>6</v>
      </c>
    </row>
    <row r="7" spans="1:6" ht="51.95" customHeight="1">
      <c r="A7" s="2" t="s">
        <v>96</v>
      </c>
      <c r="B7" s="2" t="s">
        <v>472</v>
      </c>
      <c r="C7" s="2" t="s">
        <v>473</v>
      </c>
      <c r="D7" s="2" t="s">
        <v>474</v>
      </c>
      <c r="E7" s="2" t="s">
        <v>475</v>
      </c>
      <c r="F7" s="2">
        <v>12</v>
      </c>
    </row>
    <row r="8" spans="1:6" ht="51.95" customHeight="1">
      <c r="A8" s="2" t="s">
        <v>296</v>
      </c>
      <c r="B8" s="2" t="s">
        <v>476</v>
      </c>
      <c r="C8" s="2" t="s">
        <v>477</v>
      </c>
      <c r="D8" s="2" t="s">
        <v>478</v>
      </c>
      <c r="E8" s="2" t="s">
        <v>479</v>
      </c>
      <c r="F8" s="2">
        <v>12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25"/>
  <cols>
    <col min="1" max="1" width="18" customWidth="1"/>
    <col min="2" max="2" width="14" customWidth="1"/>
    <col min="4" max="4" width="18" customWidth="1"/>
    <col min="5" max="6" width="14" customWidth="1"/>
  </cols>
  <sheetData>
    <row r="1" spans="1:8" ht="32.1" customHeight="1">
      <c r="A1" s="12" t="s">
        <v>480</v>
      </c>
      <c r="B1" s="12"/>
      <c r="C1" s="12"/>
      <c r="D1" s="12"/>
      <c r="E1" s="12"/>
      <c r="F1" s="12"/>
      <c r="G1" s="12"/>
      <c r="H1" s="12"/>
    </row>
    <row r="3" spans="1:8" ht="15">
      <c r="A3" s="8" t="s">
        <v>481</v>
      </c>
      <c r="B3" s="8" t="s">
        <v>482</v>
      </c>
      <c r="D3" s="8" t="s">
        <v>3</v>
      </c>
      <c r="E3" s="8" t="s">
        <v>483</v>
      </c>
      <c r="F3" s="8" t="s">
        <v>484</v>
      </c>
    </row>
    <row r="4" spans="1:8">
      <c r="A4" t="s">
        <v>485</v>
      </c>
      <c r="B4">
        <f>COUNTA(资产清单!A2:A47)</f>
        <v>46</v>
      </c>
      <c r="D4" t="s">
        <v>26</v>
      </c>
      <c r="E4">
        <f>COUNTIF(资产清单!D2:D47,D4)</f>
        <v>6</v>
      </c>
      <c r="F4" s="9">
        <f>SUMIF(资产清单!D2:D47,D4,资产清单!P2:P47)</f>
        <v>844.1</v>
      </c>
    </row>
    <row r="5" spans="1:8">
      <c r="A5" t="s">
        <v>486</v>
      </c>
      <c r="B5">
        <f>COUNTIF(资产清单!M2:M47,"已完成")</f>
        <v>10</v>
      </c>
      <c r="D5" t="s">
        <v>92</v>
      </c>
      <c r="E5">
        <f>COUNTIF(资产清单!D2:D47,D5)</f>
        <v>5</v>
      </c>
      <c r="F5" s="9">
        <f>SUMIF(资产清单!D2:D47,D5,资产清单!P2:P47)</f>
        <v>105.3</v>
      </c>
    </row>
    <row r="6" spans="1:8">
      <c r="A6" t="s">
        <v>487</v>
      </c>
      <c r="B6">
        <f>COUNTIF(资产清单!M2:M47,"已阻塞")</f>
        <v>9</v>
      </c>
      <c r="D6" t="s">
        <v>137</v>
      </c>
      <c r="E6">
        <f>COUNTIF(资产清单!D2:D47,D6)</f>
        <v>5</v>
      </c>
      <c r="F6" s="9">
        <f>SUMIF(资产清单!D2:D47,D6,资产清单!P2:P47)</f>
        <v>242</v>
      </c>
    </row>
    <row r="7" spans="1:8">
      <c r="A7" t="s">
        <v>488</v>
      </c>
      <c r="B7">
        <f>COUNTIF(资产清单!X2:X47,"是")</f>
        <v>10</v>
      </c>
      <c r="D7" t="s">
        <v>181</v>
      </c>
      <c r="E7">
        <f>COUNTIF(资产清单!D2:D47,D7)</f>
        <v>5</v>
      </c>
      <c r="F7" s="9">
        <f>SUMIF(资产清单!D2:D47,D7,资产清单!P2:P47)</f>
        <v>2268</v>
      </c>
    </row>
    <row r="8" spans="1:8">
      <c r="D8" t="s">
        <v>220</v>
      </c>
      <c r="E8">
        <f>COUNTIF(资产清单!D2:D47,D8)</f>
        <v>5</v>
      </c>
      <c r="F8" s="9">
        <f>SUMIF(资产清单!D2:D47,D8,资产清单!P2:P47)</f>
        <v>162</v>
      </c>
    </row>
    <row r="9" spans="1:8">
      <c r="D9" t="s">
        <v>260</v>
      </c>
      <c r="E9">
        <f>COUNTIF(资产清单!D2:D47,D9)</f>
        <v>5</v>
      </c>
      <c r="F9" s="9">
        <f>SUMIF(资产清单!D2:D47,D9,资产清单!P2:P47)</f>
        <v>87.6</v>
      </c>
    </row>
    <row r="10" spans="1:8">
      <c r="D10" t="s">
        <v>301</v>
      </c>
      <c r="E10">
        <f>COUNTIF(资产清单!D2:D47,D10)</f>
        <v>5</v>
      </c>
      <c r="F10" s="9">
        <f>SUMIF(资产清单!D2:D47,D10,资产清单!P2:P47)</f>
        <v>49.6</v>
      </c>
    </row>
    <row r="11" spans="1:8">
      <c r="D11" t="s">
        <v>340</v>
      </c>
      <c r="E11">
        <f>COUNTIF(资产清单!D2:D47,D11)</f>
        <v>5</v>
      </c>
      <c r="F11" s="9">
        <f>SUMIF(资产清单!D2:D47,D11,资产清单!P2:P47)</f>
        <v>420.70000000000005</v>
      </c>
    </row>
    <row r="12" spans="1:8">
      <c r="D12" t="s">
        <v>379</v>
      </c>
      <c r="E12">
        <f>COUNTIF(资产清单!D2:D47,D12)</f>
        <v>5</v>
      </c>
      <c r="F12" s="9">
        <f>SUMIF(资产清单!D2:D47,D12,资产清单!P2:P47)</f>
        <v>13.100000000000001</v>
      </c>
    </row>
    <row r="13" spans="1:8">
      <c r="D13" t="s">
        <v>489</v>
      </c>
      <c r="E13">
        <f>SUM(E4:E12)</f>
        <v>46</v>
      </c>
      <c r="F13" s="9">
        <f>SUM(F4:F12)</f>
        <v>4192.4000000000005</v>
      </c>
    </row>
  </sheetData>
  <mergeCells count="1">
    <mergeCell ref="A1:H1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25"/>
  <cols>
    <col min="1" max="1" width="18" customWidth="1"/>
    <col min="2" max="2" width="52" customWidth="1"/>
    <col min="3" max="3" width="44" customWidth="1"/>
  </cols>
  <sheetData>
    <row r="1" spans="1:3" ht="15">
      <c r="A1" s="10" t="s">
        <v>490</v>
      </c>
      <c r="B1" s="10" t="s">
        <v>491</v>
      </c>
      <c r="C1" s="10" t="s">
        <v>492</v>
      </c>
    </row>
    <row r="2" spans="1:3" ht="54" customHeight="1">
      <c r="A2" s="2" t="s">
        <v>493</v>
      </c>
      <c r="B2" s="2" t="s">
        <v>494</v>
      </c>
      <c r="C2" s="2" t="s">
        <v>495</v>
      </c>
    </row>
    <row r="3" spans="1:3" ht="54" customHeight="1">
      <c r="A3" s="2" t="s">
        <v>496</v>
      </c>
      <c r="B3" s="2" t="s">
        <v>497</v>
      </c>
      <c r="C3" s="2" t="s">
        <v>498</v>
      </c>
    </row>
    <row r="4" spans="1:3" ht="54" customHeight="1">
      <c r="A4" s="2" t="s">
        <v>499</v>
      </c>
      <c r="B4" s="2" t="s">
        <v>500</v>
      </c>
      <c r="C4" s="2" t="s">
        <v>501</v>
      </c>
    </row>
    <row r="5" spans="1:3" ht="54" customHeight="1">
      <c r="A5" s="2" t="s">
        <v>502</v>
      </c>
      <c r="B5" s="2" t="s">
        <v>503</v>
      </c>
      <c r="C5" s="2" t="s">
        <v>504</v>
      </c>
    </row>
    <row r="6" spans="1:3" ht="54" customHeight="1">
      <c r="A6" s="2" t="s">
        <v>505</v>
      </c>
      <c r="B6" s="2" t="s">
        <v>506</v>
      </c>
      <c r="C6" s="2" t="s">
        <v>507</v>
      </c>
    </row>
    <row r="7" spans="1:3" ht="54" customHeight="1">
      <c r="A7" s="2" t="s">
        <v>508</v>
      </c>
      <c r="B7" s="2" t="s">
        <v>509</v>
      </c>
      <c r="C7" s="2" t="s">
        <v>510</v>
      </c>
    </row>
    <row r="8" spans="1:3" ht="54" customHeight="1">
      <c r="A8" s="2" t="s">
        <v>511</v>
      </c>
      <c r="B8" s="2" t="s">
        <v>512</v>
      </c>
      <c r="C8" s="2" t="s">
        <v>513</v>
      </c>
    </row>
    <row r="9" spans="1:3" ht="54" customHeight="1">
      <c r="A9" s="2" t="s">
        <v>514</v>
      </c>
      <c r="B9" s="2" t="s">
        <v>515</v>
      </c>
      <c r="C9" s="2" t="s">
        <v>516</v>
      </c>
    </row>
    <row r="10" spans="1:3" ht="54" customHeight="1">
      <c r="A10" s="2" t="s">
        <v>517</v>
      </c>
      <c r="B10" s="2" t="s">
        <v>518</v>
      </c>
      <c r="C10" s="2" t="s">
        <v>519</v>
      </c>
    </row>
    <row r="11" spans="1:3" ht="54" customHeight="1">
      <c r="A11" s="2" t="s">
        <v>520</v>
      </c>
      <c r="B11" s="2" t="s">
        <v>521</v>
      </c>
      <c r="C11" s="2" t="s">
        <v>522</v>
      </c>
    </row>
    <row r="12" spans="1:3" ht="54" customHeight="1">
      <c r="A12" s="2" t="s">
        <v>523</v>
      </c>
      <c r="B12" s="2" t="s">
        <v>524</v>
      </c>
      <c r="C12" s="2" t="s">
        <v>525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资产清单</vt:lpstr>
      <vt:lpstr>分类说明</vt:lpstr>
      <vt:lpstr>许可证与供应商</vt:lpstr>
      <vt:lpstr>资产汇总</vt:lpstr>
      <vt:lpstr>RAG测试说明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唐俊 唐俊</cp:lastModifiedBy>
  <dcterms:modified xsi:type="dcterms:W3CDTF">2026-07-15T15:33:10Z</dcterms:modified>
</cp:coreProperties>
</file>